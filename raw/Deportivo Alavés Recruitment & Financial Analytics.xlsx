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07D7BB4C-761B-4F98-901E-423084408BC7}" xr6:coauthVersionLast="47" xr6:coauthVersionMax="47" xr10:uidLastSave="{00000000-0000-0000-0000-000000000000}"/>
  <bookViews>
    <workbookView xWindow="-120" yWindow="-120" windowWidth="29040" windowHeight="15720" tabRatio="558" firstSheet="1" activeTab="5" xr2:uid="{78CB9802-899E-4FBD-8FB0-0523E5CDD8A8}"/>
  </bookViews>
  <sheets>
    <sheet name="About" sheetId="3" r:id="rId1"/>
    <sheet name="Financials" sheetId="16" r:id="rId2"/>
    <sheet name="Game Log" sheetId="13" r:id="rId3"/>
    <sheet name="Players" sheetId="1" r:id="rId4"/>
    <sheet name="Playstyle" sheetId="9" r:id="rId5"/>
    <sheet name="Tactical Analysis" sheetId="10" r:id="rId6"/>
    <sheet name="Recruitment" sheetId="2" r:id="rId7"/>
    <sheet name="Suggested XI" sheetId="8" r:id="rId8"/>
    <sheet name="Opponent Analysis" sheetId="14" r:id="rId9"/>
    <sheet name="Opponent Match Log" sheetId="15" r:id="rId10"/>
    <sheet name="Vocabulary" sheetId="7"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6" l="1"/>
  <c r="H2" i="16"/>
  <c r="F3" i="16"/>
  <c r="F2" i="16"/>
  <c r="W20" i="10"/>
  <c r="T20" i="10"/>
  <c r="O20" i="10"/>
  <c r="N20" i="10"/>
  <c r="M20" i="10"/>
  <c r="L20" i="10"/>
  <c r="X20" i="10" s="1"/>
  <c r="J20" i="10"/>
  <c r="I20" i="10"/>
  <c r="B20" i="10"/>
  <c r="A20" i="10"/>
  <c r="S10" i="10"/>
  <c r="Q10" i="10"/>
  <c r="P10" i="10"/>
  <c r="L10" i="10"/>
  <c r="J10" i="10"/>
  <c r="I10" i="10"/>
  <c r="F10" i="10"/>
  <c r="E10" i="10"/>
  <c r="B10" i="10"/>
  <c r="X10" i="10" s="1"/>
  <c r="A10" i="10"/>
  <c r="E9" i="10"/>
  <c r="D2" i="10"/>
  <c r="E2" i="10"/>
  <c r="F2" i="10"/>
  <c r="G2" i="10"/>
  <c r="H2" i="10"/>
  <c r="I2" i="10"/>
  <c r="J2" i="10"/>
  <c r="K2" i="10"/>
  <c r="L2" i="10"/>
  <c r="D3" i="10"/>
  <c r="E3" i="10"/>
  <c r="F3" i="10"/>
  <c r="G3" i="10"/>
  <c r="H3" i="10"/>
  <c r="I3" i="10"/>
  <c r="J3" i="10"/>
  <c r="K3" i="10"/>
  <c r="L3" i="10"/>
  <c r="F4" i="10"/>
  <c r="J4" i="10"/>
  <c r="L4" i="10"/>
  <c r="X4" i="10" s="1"/>
  <c r="M4" i="10"/>
  <c r="N4" i="10"/>
  <c r="O4" i="10"/>
  <c r="P4" i="10"/>
  <c r="Q4" i="10"/>
  <c r="R4" i="10"/>
  <c r="F5" i="10"/>
  <c r="J5" i="10"/>
  <c r="L5" i="10"/>
  <c r="M5" i="10"/>
  <c r="N5" i="10"/>
  <c r="O5" i="10"/>
  <c r="P5" i="10"/>
  <c r="Q5" i="10"/>
  <c r="R5" i="10"/>
  <c r="F6" i="10"/>
  <c r="J6" i="10"/>
  <c r="L6" i="10"/>
  <c r="M6" i="10"/>
  <c r="N6" i="10"/>
  <c r="O6" i="10"/>
  <c r="P6" i="10"/>
  <c r="Q6" i="10"/>
  <c r="R6" i="10"/>
  <c r="F7" i="10"/>
  <c r="J7" i="10"/>
  <c r="L7" i="10"/>
  <c r="M7" i="10"/>
  <c r="N7" i="10"/>
  <c r="O7" i="10"/>
  <c r="P7" i="10"/>
  <c r="Q7" i="10"/>
  <c r="R7" i="10"/>
  <c r="F8" i="10"/>
  <c r="J8" i="10"/>
  <c r="L8" i="10"/>
  <c r="M8" i="10"/>
  <c r="N8" i="10"/>
  <c r="O8" i="10"/>
  <c r="P8" i="10"/>
  <c r="Q8" i="10"/>
  <c r="R8" i="10"/>
  <c r="F9" i="10"/>
  <c r="I9" i="10"/>
  <c r="J9" i="10"/>
  <c r="L9" i="10"/>
  <c r="P9" i="10"/>
  <c r="Q9" i="10"/>
  <c r="S9" i="10"/>
  <c r="E11" i="10"/>
  <c r="F11" i="10"/>
  <c r="I11" i="10"/>
  <c r="J11" i="10"/>
  <c r="L11" i="10"/>
  <c r="P11" i="10"/>
  <c r="Q11" i="10"/>
  <c r="S11" i="10"/>
  <c r="E12" i="10"/>
  <c r="F12" i="10"/>
  <c r="I12" i="10"/>
  <c r="X12" i="10" s="1"/>
  <c r="J12" i="10"/>
  <c r="L12" i="10"/>
  <c r="P12" i="10"/>
  <c r="Q12" i="10"/>
  <c r="S12" i="10"/>
  <c r="F13" i="10"/>
  <c r="I13" i="10"/>
  <c r="J13" i="10"/>
  <c r="L13" i="10"/>
  <c r="N13" i="10"/>
  <c r="P13" i="10"/>
  <c r="Q13" i="10"/>
  <c r="S13" i="10"/>
  <c r="F14" i="10"/>
  <c r="I14" i="10"/>
  <c r="J14" i="10"/>
  <c r="L14" i="10"/>
  <c r="N14" i="10"/>
  <c r="P14" i="10"/>
  <c r="Q14" i="10"/>
  <c r="S14" i="10"/>
  <c r="F15" i="10"/>
  <c r="I15" i="10"/>
  <c r="J15" i="10"/>
  <c r="L15" i="10"/>
  <c r="N15" i="10"/>
  <c r="P15" i="10"/>
  <c r="R15" i="10"/>
  <c r="S15" i="10"/>
  <c r="T15" i="10"/>
  <c r="F16" i="10"/>
  <c r="I16" i="10"/>
  <c r="X16" i="10" s="1"/>
  <c r="J16" i="10"/>
  <c r="L16" i="10"/>
  <c r="N16" i="10"/>
  <c r="P16" i="10"/>
  <c r="R16" i="10"/>
  <c r="S16" i="10"/>
  <c r="T16" i="10"/>
  <c r="F17" i="10"/>
  <c r="I17" i="10"/>
  <c r="J17" i="10"/>
  <c r="L17" i="10"/>
  <c r="N17" i="10"/>
  <c r="P17" i="10"/>
  <c r="R17" i="10"/>
  <c r="S17" i="10"/>
  <c r="T17" i="10"/>
  <c r="I18" i="10"/>
  <c r="J18" i="10"/>
  <c r="L18" i="10"/>
  <c r="M18" i="10"/>
  <c r="N18" i="10"/>
  <c r="P18" i="10"/>
  <c r="T18" i="10"/>
  <c r="U18" i="10"/>
  <c r="V18" i="10"/>
  <c r="I19" i="10"/>
  <c r="J19" i="10"/>
  <c r="L19" i="10"/>
  <c r="M19" i="10"/>
  <c r="N19" i="10"/>
  <c r="P19" i="10"/>
  <c r="T19" i="10"/>
  <c r="U19" i="10"/>
  <c r="V19" i="10"/>
  <c r="I21" i="10"/>
  <c r="J21" i="10"/>
  <c r="L21" i="10"/>
  <c r="M21" i="10"/>
  <c r="N21" i="10"/>
  <c r="O21" i="10"/>
  <c r="T21" i="10"/>
  <c r="W21" i="10"/>
  <c r="E22" i="10"/>
  <c r="J22" i="10"/>
  <c r="L22" i="10"/>
  <c r="M22" i="10"/>
  <c r="R22" i="10"/>
  <c r="S22" i="10"/>
  <c r="T22" i="10"/>
  <c r="V22" i="10"/>
  <c r="E23" i="10"/>
  <c r="J23" i="10"/>
  <c r="L23" i="10"/>
  <c r="M23" i="10"/>
  <c r="R23" i="10"/>
  <c r="S23" i="10"/>
  <c r="T23" i="10"/>
  <c r="V23" i="10"/>
  <c r="E24" i="10"/>
  <c r="J24" i="10"/>
  <c r="L24" i="10"/>
  <c r="M24" i="10"/>
  <c r="R24" i="10"/>
  <c r="S24" i="10"/>
  <c r="T24" i="10"/>
  <c r="V24" i="10"/>
  <c r="E25" i="10"/>
  <c r="J25" i="10"/>
  <c r="L25" i="10"/>
  <c r="M25" i="10"/>
  <c r="R25" i="10"/>
  <c r="S25" i="10"/>
  <c r="T25" i="10"/>
  <c r="V25" i="10"/>
  <c r="C3" i="10"/>
  <c r="W1" i="10"/>
  <c r="V1" i="10"/>
  <c r="S1" i="10"/>
  <c r="T1" i="10"/>
  <c r="U1" i="10"/>
  <c r="M1" i="10"/>
  <c r="N1" i="10"/>
  <c r="O1" i="10"/>
  <c r="P1" i="10"/>
  <c r="Q1" i="10"/>
  <c r="R1" i="10"/>
  <c r="A21" i="10"/>
  <c r="B21" i="10"/>
  <c r="X21" i="10" s="1"/>
  <c r="H3" i="2"/>
  <c r="A12" i="10"/>
  <c r="B12" i="10"/>
  <c r="A8" i="10"/>
  <c r="B8" i="10"/>
  <c r="A17" i="10"/>
  <c r="B17" i="10"/>
  <c r="X17" i="10" s="1"/>
  <c r="A11" i="10"/>
  <c r="B11" i="10"/>
  <c r="X11" i="10" s="1"/>
  <c r="H2" i="2"/>
  <c r="L64" i="9"/>
  <c r="L51" i="9"/>
  <c r="I64" i="9"/>
  <c r="I52" i="9"/>
  <c r="A25" i="10"/>
  <c r="B25" i="10"/>
  <c r="X25" i="10" s="1"/>
  <c r="A23" i="10"/>
  <c r="B23" i="10"/>
  <c r="X23" i="10" s="1"/>
  <c r="A24" i="10"/>
  <c r="B24" i="10"/>
  <c r="X24" i="10" s="1"/>
  <c r="B22" i="10"/>
  <c r="X22" i="10" s="1"/>
  <c r="A22" i="10"/>
  <c r="A19" i="10"/>
  <c r="B19" i="10"/>
  <c r="X19" i="10" s="1"/>
  <c r="B18" i="10"/>
  <c r="X18" i="10" s="1"/>
  <c r="A16" i="10"/>
  <c r="B16" i="10"/>
  <c r="B15" i="10"/>
  <c r="X15" i="10" s="1"/>
  <c r="A15" i="10"/>
  <c r="A18" i="10"/>
  <c r="A14" i="10"/>
  <c r="B14" i="10"/>
  <c r="X14" i="10" s="1"/>
  <c r="B13" i="10"/>
  <c r="X13" i="10" s="1"/>
  <c r="A13" i="10"/>
  <c r="A9" i="10"/>
  <c r="B9" i="10"/>
  <c r="X9" i="10" s="1"/>
  <c r="A5" i="10"/>
  <c r="B5" i="10"/>
  <c r="A6" i="10"/>
  <c r="B6" i="10"/>
  <c r="A7" i="10"/>
  <c r="B7" i="10"/>
  <c r="B4" i="10"/>
  <c r="A3" i="10"/>
  <c r="C11" i="8" s="1"/>
  <c r="B3" i="10"/>
  <c r="X3" i="10" s="1"/>
  <c r="B2" i="10"/>
  <c r="X2" i="10" s="1"/>
  <c r="C2" i="10"/>
  <c r="L1" i="10"/>
  <c r="B1" i="10"/>
  <c r="C1" i="10"/>
  <c r="D1" i="10"/>
  <c r="E1" i="10"/>
  <c r="F1" i="10"/>
  <c r="G1" i="10"/>
  <c r="H1" i="10"/>
  <c r="I1" i="10"/>
  <c r="J1" i="10"/>
  <c r="K1" i="10"/>
  <c r="A2" i="10"/>
  <c r="A4" i="10"/>
  <c r="B53" i="9"/>
  <c r="H64" i="9"/>
  <c r="E65" i="9"/>
  <c r="B65" i="9"/>
  <c r="E51" i="9"/>
  <c r="H52" i="9"/>
  <c r="A1" i="10"/>
  <c r="C7" i="8" l="1"/>
  <c r="C10" i="8"/>
  <c r="C2" i="8"/>
  <c r="C9" i="8"/>
  <c r="C5" i="8"/>
  <c r="C12" i="8"/>
  <c r="C8" i="8"/>
  <c r="C4" i="8"/>
  <c r="Y15" i="10" a="1"/>
  <c r="Y15" i="10" s="1"/>
  <c r="Y25" i="10" a="1"/>
  <c r="Y25" i="10" s="1"/>
  <c r="X7" i="10"/>
  <c r="Y7" i="10" s="1" a="1"/>
  <c r="Y7" i="10" s="1"/>
  <c r="Y24" i="10" a="1"/>
  <c r="Y24" i="10" s="1"/>
  <c r="Y23" i="10" a="1"/>
  <c r="Y23" i="10" s="1"/>
  <c r="Y22" i="10" a="1"/>
  <c r="Y22" i="10" s="1"/>
  <c r="X6" i="10"/>
  <c r="Y6" i="10" s="1" a="1"/>
  <c r="Y6" i="10" s="1"/>
  <c r="Y14" i="10" a="1"/>
  <c r="Y14" i="10" s="1"/>
  <c r="Y13" i="10" a="1"/>
  <c r="Y13" i="10" s="1"/>
  <c r="X8" i="10"/>
  <c r="X5" i="10"/>
  <c r="C6" i="8" s="1"/>
  <c r="Y10" i="10" a="1"/>
  <c r="Y10" i="10" s="1"/>
  <c r="Y11" i="10" a="1"/>
  <c r="Y11" i="10" s="1"/>
  <c r="Y20" i="10" a="1"/>
  <c r="Y20" i="10" s="1"/>
  <c r="Y3" i="10" a="1"/>
  <c r="Y3" i="10" s="1"/>
  <c r="Y19" i="10" a="1"/>
  <c r="Y19" i="10" s="1"/>
  <c r="Y16" i="10" a="1"/>
  <c r="Y16" i="10" s="1"/>
  <c r="Y4" i="10" a="1"/>
  <c r="Y4" i="10" s="1"/>
  <c r="Y2" i="10" a="1"/>
  <c r="Y2" i="10" s="1"/>
  <c r="C3" i="8" l="1"/>
  <c r="Y9" i="10" a="1"/>
  <c r="Y9" i="10" s="1"/>
  <c r="Y5" i="10" a="1"/>
  <c r="Y5" i="10" s="1"/>
  <c r="Y18" i="10" a="1"/>
  <c r="Y18" i="10" s="1"/>
  <c r="Y21" i="10" a="1"/>
  <c r="Y21" i="1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<sst xmlns="http://schemas.openxmlformats.org/spreadsheetml/2006/main" count="2251" uniqueCount="677">
  <si>
    <t>Age</t>
  </si>
  <si>
    <t>Position</t>
  </si>
  <si>
    <t>Value</t>
  </si>
  <si>
    <t>Wage</t>
  </si>
  <si>
    <t>Pace</t>
  </si>
  <si>
    <t>Acceleration</t>
  </si>
  <si>
    <t>Stamina</t>
  </si>
  <si>
    <t>Work Rate</t>
  </si>
  <si>
    <t>Passing</t>
  </si>
  <si>
    <t>Decisions</t>
  </si>
  <si>
    <t>Tackling</t>
  </si>
  <si>
    <t>GK</t>
  </si>
  <si>
    <t>DM</t>
  </si>
  <si>
    <t>ST</t>
  </si>
  <si>
    <t>Wage Budget</t>
  </si>
  <si>
    <t>Current Wage Total</t>
  </si>
  <si>
    <t>Maximum Wage</t>
  </si>
  <si>
    <t>Current Highest Wage</t>
  </si>
  <si>
    <t>Profit Retention</t>
  </si>
  <si>
    <t>Regulatory Position</t>
  </si>
  <si>
    <t>Affiliate Clubs</t>
  </si>
  <si>
    <t>Fully Compliant</t>
  </si>
  <si>
    <t>Aurrera Vitoria, Betono, NK Istra 1961</t>
  </si>
  <si>
    <t>Transfer Budget</t>
  </si>
  <si>
    <t>Transfer Spending</t>
  </si>
  <si>
    <t>Transfer Income</t>
  </si>
  <si>
    <t>Net Spend</t>
  </si>
  <si>
    <t>Regulatory Allowance</t>
  </si>
  <si>
    <t>Regulatory Spending</t>
  </si>
  <si>
    <t>Advantages</t>
  </si>
  <si>
    <t>Disadvantages</t>
  </si>
  <si>
    <t>Morale is good among the players</t>
  </si>
  <si>
    <t>Team could do with an injection of pace</t>
  </si>
  <si>
    <t>We are not as fit as some of the other teams in this division</t>
  </si>
  <si>
    <t>Our passing ability is not as good as other teams in this division</t>
  </si>
  <si>
    <t>Not as comfortable on the ball as other teams in this division</t>
  </si>
  <si>
    <t>Team lacks the ability to spot incisive passes</t>
  </si>
  <si>
    <t>Squad tends to make wrong decisions at key moments</t>
  </si>
  <si>
    <t>Our squad is lacking in depth in a number of key areas</t>
  </si>
  <si>
    <t>We are currently operating over our total wage bill</t>
  </si>
  <si>
    <t>Our training facilities are below the required standard</t>
  </si>
  <si>
    <t>Antonio Sivera</t>
  </si>
  <si>
    <t>Player Name</t>
  </si>
  <si>
    <t>Height / Weight</t>
  </si>
  <si>
    <t>1.84m / 75kg</t>
  </si>
  <si>
    <t>Nahuel Tenaglia</t>
  </si>
  <si>
    <t>1.81m / 79kg</t>
  </si>
  <si>
    <t>DC</t>
  </si>
  <si>
    <t>Ville Koski</t>
  </si>
  <si>
    <t>1.89m / 84kg</t>
  </si>
  <si>
    <t>Jonny Otto</t>
  </si>
  <si>
    <t>1.75m / 70kg</t>
  </si>
  <si>
    <t>Antonio Blanco</t>
  </si>
  <si>
    <t>1.76m / 72kg</t>
  </si>
  <si>
    <t>Ander Guevara</t>
  </si>
  <si>
    <t>1.80m / 73kg</t>
  </si>
  <si>
    <t>Carles Aleñá</t>
  </si>
  <si>
    <t>Pablo Ibáñez</t>
  </si>
  <si>
    <t>1.79m / 74kg</t>
  </si>
  <si>
    <t>Denis Suárez</t>
  </si>
  <si>
    <t>1.76m / 69kg</t>
  </si>
  <si>
    <t>Toni Martínez</t>
  </si>
  <si>
    <t>1.87m / 83kg</t>
  </si>
  <si>
    <t>Lucas Boyé</t>
  </si>
  <si>
    <t>1.79m / 81kg</t>
  </si>
  <si>
    <t>Mariano Díaz</t>
  </si>
  <si>
    <t>1.80m / 76kg</t>
  </si>
  <si>
    <t>Field</t>
  </si>
  <si>
    <t>Definition</t>
  </si>
  <si>
    <t>Source</t>
  </si>
  <si>
    <t>Data Type</t>
  </si>
  <si>
    <t>Required?</t>
  </si>
  <si>
    <t>Player's name</t>
  </si>
  <si>
    <t>FM26</t>
  </si>
  <si>
    <t>Text</t>
  </si>
  <si>
    <t>Yes</t>
  </si>
  <si>
    <t>Player age at project start</t>
  </si>
  <si>
    <t>Number</t>
  </si>
  <si>
    <t>Primary playing position</t>
  </si>
  <si>
    <t>Secondary Position</t>
  </si>
  <si>
    <t>Other playable position(s)</t>
  </si>
  <si>
    <t>Optional</t>
  </si>
  <si>
    <t>Role</t>
  </si>
  <si>
    <t>Nationality</t>
  </si>
  <si>
    <t>Player nationality</t>
  </si>
  <si>
    <t>Transfer Value (€)</t>
  </si>
  <si>
    <t>Estimated/current FM26 player value</t>
  </si>
  <si>
    <t>Currency</t>
  </si>
  <si>
    <t>Weekly Wage (€)</t>
  </si>
  <si>
    <t>Contract End</t>
  </si>
  <si>
    <t>Contract expiration date</t>
  </si>
  <si>
    <t>Date</t>
  </si>
  <si>
    <t>FM26 player attribute on the game's attribute scale</t>
  </si>
  <si>
    <t>Teamwork</t>
  </si>
  <si>
    <t>Off the Ball</t>
  </si>
  <si>
    <t>Anticipation</t>
  </si>
  <si>
    <t>First Touch</t>
  </si>
  <si>
    <t>Dribbling</t>
  </si>
  <si>
    <t>Positioning</t>
  </si>
  <si>
    <t>Finishing</t>
  </si>
  <si>
    <t>Composure</t>
  </si>
  <si>
    <t>Strength</t>
  </si>
  <si>
    <t>Natural Fitness</t>
  </si>
  <si>
    <t>Notes</t>
  </si>
  <si>
    <t>Data-quality notes or special circumstances</t>
  </si>
  <si>
    <t>Analyst</t>
  </si>
  <si>
    <t>Raúl Fernández</t>
  </si>
  <si>
    <t>Yusi</t>
  </si>
  <si>
    <t>Parada</t>
  </si>
  <si>
    <t>Ángel Pérez</t>
  </si>
  <si>
    <t>MC</t>
  </si>
  <si>
    <t>Calebe</t>
  </si>
  <si>
    <t>Abde</t>
  </si>
  <si>
    <t>Diabaté</t>
  </si>
  <si>
    <t>1.96m / 87kg</t>
  </si>
  <si>
    <t>1.81m / 74kg</t>
  </si>
  <si>
    <t>1.74m / 68kg</t>
  </si>
  <si>
    <t>1.73m / 67kg</t>
  </si>
  <si>
    <t>1.76m / 71kg</t>
  </si>
  <si>
    <t>1.88m / 84kg</t>
  </si>
  <si>
    <t>£24M</t>
  </si>
  <si>
    <t xml:space="preserve"> £40k</t>
  </si>
  <si>
    <t>£450k</t>
  </si>
  <si>
    <t>£9.5k</t>
  </si>
  <si>
    <t>£5.25M</t>
  </si>
  <si>
    <t>£11.5k</t>
  </si>
  <si>
    <t>£18.25M</t>
  </si>
  <si>
    <t>£27.5k</t>
  </si>
  <si>
    <t>£2.6M</t>
  </si>
  <si>
    <t>£1.5M</t>
  </si>
  <si>
    <t>£1.4k</t>
  </si>
  <si>
    <t>£3.1M</t>
  </si>
  <si>
    <t>£12.75k</t>
  </si>
  <si>
    <t>£12.25M</t>
  </si>
  <si>
    <t>£4.5M</t>
  </si>
  <si>
    <t>£38.5M</t>
  </si>
  <si>
    <t>£44k</t>
  </si>
  <si>
    <t>£14.25M</t>
  </si>
  <si>
    <t>£39k</t>
  </si>
  <si>
    <t>£10.25M</t>
  </si>
  <si>
    <t>£35.5k</t>
  </si>
  <si>
    <t>£7.5M</t>
  </si>
  <si>
    <t>£25.5k</t>
  </si>
  <si>
    <t>£23.5k</t>
  </si>
  <si>
    <t>£4M</t>
  </si>
  <si>
    <t>£37.5k</t>
  </si>
  <si>
    <t>£15.5M</t>
  </si>
  <si>
    <t>£42.5k</t>
  </si>
  <si>
    <t>£2.7M</t>
  </si>
  <si>
    <t>£9k</t>
  </si>
  <si>
    <t>£7.5k</t>
  </si>
  <si>
    <t>£3.1K</t>
  </si>
  <si>
    <t>£3.3k</t>
  </si>
  <si>
    <t>Wednesday, 23rd Jul, 2025</t>
  </si>
  <si>
    <t>Date start:</t>
  </si>
  <si>
    <t>Aggression</t>
  </si>
  <si>
    <t>Movement</t>
  </si>
  <si>
    <t>Aerial</t>
  </si>
  <si>
    <t>Playstyle:</t>
  </si>
  <si>
    <t>Attribute</t>
  </si>
  <si>
    <t>Total</t>
  </si>
  <si>
    <t>Recruitment Priority</t>
  </si>
  <si>
    <t>Tactical Fit</t>
  </si>
  <si>
    <t>DL</t>
  </si>
  <si>
    <t>DR</t>
  </si>
  <si>
    <t>WR</t>
  </si>
  <si>
    <t>WL</t>
  </si>
  <si>
    <t>AM</t>
  </si>
  <si>
    <t>Category</t>
  </si>
  <si>
    <t>Player</t>
  </si>
  <si>
    <t>Transfer Fee</t>
  </si>
  <si>
    <t>High</t>
  </si>
  <si>
    <t>Medium</t>
  </si>
  <si>
    <t>Technique</t>
  </si>
  <si>
    <t>Crossing</t>
  </si>
  <si>
    <t>How I came up with these proportions:</t>
  </si>
  <si>
    <t>Creativity</t>
  </si>
  <si>
    <t>Shooting</t>
  </si>
  <si>
    <t>Reflexes</t>
  </si>
  <si>
    <t>Handling</t>
  </si>
  <si>
    <t>Agility</t>
  </si>
  <si>
    <t>Kicking</t>
  </si>
  <si>
    <t>Communication</t>
  </si>
  <si>
    <r>
      <t>FM tactical evidence:</t>
    </r>
    <r>
      <rPr>
        <sz val="24"/>
        <color theme="1"/>
        <rFont val="Aptos"/>
        <family val="2"/>
      </rPr>
      <t xml:space="preserve"> Alavés has aerially strong strikers and a hardworking squad, while tackling is a weakness.</t>
    </r>
  </si>
  <si>
    <r>
      <t>Analytical interpretation:</t>
    </r>
    <r>
      <rPr>
        <sz val="24"/>
        <color theme="1"/>
        <rFont val="Aptos"/>
        <family val="2"/>
      </rPr>
      <t xml:space="preserve"> Aerial, Strength, Stamina and Teamwork should receive relatively high weights, while Tackling should be monitored as a defensive-risk factor.</t>
    </r>
  </si>
  <si>
    <t>Low</t>
  </si>
  <si>
    <t>Requirement Score</t>
  </si>
  <si>
    <t>Status</t>
  </si>
  <si>
    <t>Gustavo Gómez</t>
  </si>
  <si>
    <t>£5M-£7.5M</t>
  </si>
  <si>
    <t>Minimum Requirement Score</t>
  </si>
  <si>
    <t>1.85m / 85kg</t>
  </si>
  <si>
    <t>Requirement Met?</t>
  </si>
  <si>
    <t>Value Score (?/10)</t>
  </si>
  <si>
    <t>£28.5k-£43k</t>
  </si>
  <si>
    <t>Done Deal</t>
  </si>
  <si>
    <t>Route One philosophy says that you must play the furthest-forward pass available and penetrate the penalty area quickly. With strong team ethic, disciplined system, aggressive style, and aerially powerful strikers like Toni Martínez and Lucas Boyé, we can optimize this tactic to control the game.</t>
  </si>
  <si>
    <t>£33k</t>
  </si>
  <si>
    <t>4-3-3 Route One</t>
  </si>
  <si>
    <t>Tactical Analysis</t>
  </si>
  <si>
    <t>Note</t>
  </si>
  <si>
    <t>Route One Playstyle</t>
  </si>
  <si>
    <t>Deportivo Alavés</t>
  </si>
  <si>
    <t>1. First 15 minutes — Defensive structure</t>
  </si>
  <si>
    <t>What formation do they use?</t>
  </si>
  <si>
    <t>How high do they defend?</t>
  </si>
  <si>
    <t>Where do they leave space?</t>
  </si>
  <si>
    <t>Do their fullbacks push forward?</t>
  </si>
  <si>
    <t>Do they defend centrally or allow wide areas?</t>
  </si>
  <si>
    <t>2. 15–30 minutes — Build-up &amp; transition</t>
  </si>
  <si>
    <t>When they recover possession, do they:</t>
  </si>
  <si>
    <t>Play forward immediately?</t>
  </si>
  <si>
    <t>Pass sideways?</t>
  </si>
  <si>
    <t>Counter through the wings?</t>
  </si>
  <si>
    <t>Look for their striker?</t>
  </si>
  <si>
    <t>Slow the game down?</t>
  </si>
  <si>
    <t>3. 30–45 minutes — Identify their weakness</t>
  </si>
  <si>
    <t>Weak aerial defenders</t>
  </si>
  <si>
    <t>Fullbacks leaving space</t>
  </si>
  <si>
    <t>Poor defensive positioning</t>
  </si>
  <si>
    <t>Weak midfield</t>
  </si>
  <si>
    <t>Striker isolated</t>
  </si>
  <si>
    <t>Poor reactions after losing possession</t>
  </si>
  <si>
    <t>Difficulty defending long balls</t>
  </si>
  <si>
    <t>Opponent</t>
  </si>
  <si>
    <t>Formation</t>
  </si>
  <si>
    <t>Shape in possession</t>
  </si>
  <si>
    <t>Attacking style</t>
  </si>
  <si>
    <t>Defensive style</t>
  </si>
  <si>
    <t>Key Player</t>
  </si>
  <si>
    <t>Main Threat</t>
  </si>
  <si>
    <t>Weakness</t>
  </si>
  <si>
    <t>Set Pieces</t>
  </si>
  <si>
    <t>Opponent Analysis</t>
  </si>
  <si>
    <t>Wide</t>
  </si>
  <si>
    <t>Overload</t>
  </si>
  <si>
    <t>Real San Sebastián</t>
  </si>
  <si>
    <t>5-1-2-2</t>
  </si>
  <si>
    <t>Low block</t>
  </si>
  <si>
    <t>M. Oyarzábal, T. Kubo, J. Aramburu</t>
  </si>
  <si>
    <t>Deep build-up, hard to press. Players like Mikel Oyarzabal and Takefusa Kubo provide creativity, leadership, and a clinical edge in the final third.</t>
  </si>
  <si>
    <t>Factor</t>
  </si>
  <si>
    <t>Score</t>
  </si>
  <si>
    <t>Defensive Organization</t>
  </si>
  <si>
    <t>Aerial Defense</t>
  </si>
  <si>
    <t>Transition Threat</t>
  </si>
  <si>
    <t>Pressing</t>
  </si>
  <si>
    <t>Central Defense</t>
  </si>
  <si>
    <t>Wide Defense</t>
  </si>
  <si>
    <t>Overall Threat</t>
  </si>
  <si>
    <t>Very high</t>
  </si>
  <si>
    <t>Middle</t>
  </si>
  <si>
    <t>Allow wide areas</t>
  </si>
  <si>
    <t>They play forward immediately</t>
  </si>
  <si>
    <t>Look for their strikers and does not slow the game down</t>
  </si>
  <si>
    <t>Strikers missing out chances</t>
  </si>
  <si>
    <t>5/5</t>
  </si>
  <si>
    <t>2/5</t>
  </si>
  <si>
    <t>3/5</t>
  </si>
  <si>
    <t>4/5</t>
  </si>
  <si>
    <t>Vs. Real San Sebastián</t>
  </si>
  <si>
    <t>Final rating</t>
  </si>
  <si>
    <t>Atlético Pamplona</t>
  </si>
  <si>
    <t>4-2-3-1</t>
  </si>
  <si>
    <t>Counter-attack</t>
  </si>
  <si>
    <t>Low-block</t>
  </si>
  <si>
    <t>Focuses on transitioning to defence after losing possession in an attempt to restrict the space in which the opposition can play.</t>
  </si>
  <si>
    <t>High-pressing work ethic, defensive physical discipline, and the hostile, intense atmosphere</t>
  </si>
  <si>
    <t>Vs. Atlético Pamplona</t>
  </si>
  <si>
    <t>4-2-4</t>
  </si>
  <si>
    <t>No</t>
  </si>
  <si>
    <t>Left wing</t>
  </si>
  <si>
    <t>Defend centrally</t>
  </si>
  <si>
    <t>They exploit my team by using their fast wingers</t>
  </si>
  <si>
    <t>Fullbacks appear to leave spaces</t>
  </si>
  <si>
    <t>Vs. Real Madrid</t>
  </si>
  <si>
    <t>Transition-Restrict</t>
  </si>
  <si>
    <t>Real Madrid</t>
  </si>
  <si>
    <t>4-1-2-2-1</t>
  </si>
  <si>
    <t>High-block</t>
  </si>
  <si>
    <t>K. Mbappé, F. Valverde, Vinícius Júnior</t>
  </si>
  <si>
    <t>Physical strong players, heavily-paced players, good passing quality, technical gifted players, creative, good decision-making, youthful squad.</t>
  </si>
  <si>
    <t>No obvious weakness</t>
  </si>
  <si>
    <t>They work together to transitition to attack</t>
  </si>
  <si>
    <t>They pass sideways to find left spaces</t>
  </si>
  <si>
    <t>Striker are being isolated, with Mbappé missing out clear chances</t>
  </si>
  <si>
    <t>Midfield appears to stuck with successful through-ball</t>
  </si>
  <si>
    <t>Getafe</t>
  </si>
  <si>
    <t>Normal</t>
  </si>
  <si>
    <t>Milla, L</t>
  </si>
  <si>
    <t>Physical strong players</t>
  </si>
  <si>
    <t>Lacks pace, not comfortable passing ball, lacks creativity</t>
  </si>
  <si>
    <t>Direct Play</t>
  </si>
  <si>
    <t>Vs. Getafe</t>
  </si>
  <si>
    <t>Opponent Match Log</t>
  </si>
  <si>
    <t>&gt;&gt; Low press, MC began to be indecisive in passing</t>
  </si>
  <si>
    <t>They pass in small spaces to find left spaces</t>
  </si>
  <si>
    <t>Vs. Oviedo</t>
  </si>
  <si>
    <t>Oviedo</t>
  </si>
  <si>
    <t>Route One</t>
  </si>
  <si>
    <t>Santi Cazorla</t>
  </si>
  <si>
    <t>No notable threat</t>
  </si>
  <si>
    <t>Not physical, not comfortable passing ball, lacks creativity</t>
  </si>
  <si>
    <t>&gt;&gt; Low press, MC began to be decisive in passing</t>
  </si>
  <si>
    <t>They look for the striker</t>
  </si>
  <si>
    <t>Defenders show weakness in aerial</t>
  </si>
  <si>
    <t>Midfielders lack of positioning</t>
  </si>
  <si>
    <t>Strikers didn't have the chance to attack</t>
  </si>
  <si>
    <t>1/5</t>
  </si>
  <si>
    <t>Vs. Villarreal</t>
  </si>
  <si>
    <t>Both wings</t>
  </si>
  <si>
    <t>&gt;&gt; High press, DC remained intact with defending</t>
  </si>
  <si>
    <t>They kept the game in high intensity</t>
  </si>
  <si>
    <t>Tend to be confused when lost possession</t>
  </si>
  <si>
    <t>Villarreal</t>
  </si>
  <si>
    <t>Veiga, R</t>
  </si>
  <si>
    <t>Mid-block</t>
  </si>
  <si>
    <t>Wing Play</t>
  </si>
  <si>
    <t>High pace players, youthful squad</t>
  </si>
  <si>
    <t>Lacks creativity, fitness and energy levels, leadership</t>
  </si>
  <si>
    <t>Team Performance Conclusion</t>
  </si>
  <si>
    <t>Vs. Vallecano</t>
  </si>
  <si>
    <t>They kept the game in low intensity</t>
  </si>
  <si>
    <t>Vallecano</t>
  </si>
  <si>
    <t>Direct Counter</t>
  </si>
  <si>
    <t>Andrei Ratiu</t>
  </si>
  <si>
    <t>Out of form, injury crisis, bad defense.</t>
  </si>
  <si>
    <t>Focuses on building attacks in a patient and methodical manner in an attempt to pull the opposition's defensive line out of shape</t>
  </si>
  <si>
    <t>Fullbacks were unable to catch up</t>
  </si>
  <si>
    <t>Vs. Sevilla</t>
  </si>
  <si>
    <t>5-2-1-2</t>
  </si>
  <si>
    <t>Sevilla</t>
  </si>
  <si>
    <t>Juanlu</t>
  </si>
  <si>
    <t>Deep</t>
  </si>
  <si>
    <t>&gt;&gt; Low press, but we couldn't create chances</t>
  </si>
  <si>
    <t>They pass to wingers, create chances to cross inside</t>
  </si>
  <si>
    <t>They kept the game in normal intensity</t>
  </si>
  <si>
    <t>Midfielders didn’t show creativity in passing</t>
  </si>
  <si>
    <t>Physical strong players, make good decisions, youthful squad</t>
  </si>
  <si>
    <t>Lacks technique, creativity, and fitness</t>
  </si>
  <si>
    <t>Levante</t>
  </si>
  <si>
    <t>Hayakawa, T</t>
  </si>
  <si>
    <t>Best disciplinary records</t>
  </si>
  <si>
    <t>Lacks physical, pace, comfortable passing the ball, decision-making</t>
  </si>
  <si>
    <t>Vs. Levante</t>
  </si>
  <si>
    <t>&gt;&gt; They are using offside trap, so we attack early and keep high intensity</t>
  </si>
  <si>
    <t>Fullbacks couldn't catch up</t>
  </si>
  <si>
    <t>Offside trap was broken</t>
  </si>
  <si>
    <t>Striker didn't have chances</t>
  </si>
  <si>
    <t>Struggled to keep possession</t>
  </si>
  <si>
    <t>Unai Símon</t>
  </si>
  <si>
    <t>Physical strong players, high-pace team, gifted players, making right decisions</t>
  </si>
  <si>
    <t>Out of form, team spirit low, bad disciplinary record</t>
  </si>
  <si>
    <t>Celta Vigo</t>
  </si>
  <si>
    <t>3-4-3</t>
  </si>
  <si>
    <t>Javi Rodríguez</t>
  </si>
  <si>
    <t>Willing to work hard, good form team, team spirit is high, highest scoring team.</t>
  </si>
  <si>
    <t>Lacks fitness and energy levels.</t>
  </si>
  <si>
    <t>Transition-Press</t>
  </si>
  <si>
    <t>Focuses on aggresively pressing the opposition as soon as possession has been lost in an attempt to win the ball back quickly</t>
  </si>
  <si>
    <t>Vs. Celta Vigo</t>
  </si>
  <si>
    <t>They pass to midfielders, which help controlling the center</t>
  </si>
  <si>
    <t>Defenders couldn't form a good shield against Gegenpress</t>
  </si>
  <si>
    <t>The DCs allowed my team to pass freely in the middle zone</t>
  </si>
  <si>
    <t>They couldn't defend long balls</t>
  </si>
  <si>
    <t>Vs. Mallorca</t>
  </si>
  <si>
    <t>Mallorca</t>
  </si>
  <si>
    <t>Attacking</t>
  </si>
  <si>
    <t>Mojica, J</t>
  </si>
  <si>
    <t>Highly determined group of players, high team spirit, good scorer</t>
  </si>
  <si>
    <t>Aged team (just like us), bad defending records, bad disciplinary records.</t>
  </si>
  <si>
    <t>Focuses on getting the ball from back to front quickly in attempt to exploit the opposition's physical or organisational weaknesses</t>
  </si>
  <si>
    <t>Their crossings were weakly cut inside, result in my aerial defense managed to block them</t>
  </si>
  <si>
    <t>Valencia</t>
  </si>
  <si>
    <t>Guerra, J</t>
  </si>
  <si>
    <t>Willing to work hard, highly determined, team spirit is high</t>
  </si>
  <si>
    <t>Not comfortable passing the ball, lack in technical ability, out of gorm, bad disciplinary records</t>
  </si>
  <si>
    <t>Vs. Valencia</t>
  </si>
  <si>
    <t>They have weak aerial defenders</t>
  </si>
  <si>
    <t>Millián Roigé</t>
  </si>
  <si>
    <t>£1.1M</t>
  </si>
  <si>
    <t>£70</t>
  </si>
  <si>
    <t>Unknown</t>
  </si>
  <si>
    <t>Youth player</t>
  </si>
  <si>
    <t>Egoitz Muñoz</t>
  </si>
  <si>
    <t>1.78m / 75kg</t>
  </si>
  <si>
    <t>£1.2M</t>
  </si>
  <si>
    <t>Adrián Pica</t>
  </si>
  <si>
    <t>1.9m / 84kg</t>
  </si>
  <si>
    <t>£2.1M</t>
  </si>
  <si>
    <t>£7.75k</t>
  </si>
  <si>
    <t>Espanyol</t>
  </si>
  <si>
    <t>Roberto Fernández</t>
  </si>
  <si>
    <t>Youthful squad, top scorer</t>
  </si>
  <si>
    <t>Lacks technical ability, creativity, fitness and enery levels. Team is out of form and has bad disciplinary records</t>
  </si>
  <si>
    <t>Vs. Espanyol</t>
  </si>
  <si>
    <t>Midfielders didn't have many chances</t>
  </si>
  <si>
    <t>Barcelona</t>
  </si>
  <si>
    <t>Gegenpress</t>
  </si>
  <si>
    <t>Pedri</t>
  </si>
  <si>
    <t>No obvious weaknesses</t>
  </si>
  <si>
    <t>Vs. Barcelona</t>
  </si>
  <si>
    <t>Narrowed their team to use their gegenpress strategy</t>
  </si>
  <si>
    <t>Dribble to reach their strikers</t>
  </si>
  <si>
    <t>No obvious weaknesses were shown</t>
  </si>
  <si>
    <t>They didn't have good aerial attack</t>
  </si>
  <si>
    <t>Defensive</t>
  </si>
  <si>
    <t>Fluid Counter</t>
  </si>
  <si>
    <t>Álvarez, J</t>
  </si>
  <si>
    <t>Fast-paced players, good passing ability, creative players, good decision-making, fit and energetic players, good scoring stats</t>
  </si>
  <si>
    <t>Low team spirit, bad disciplinary records</t>
  </si>
  <si>
    <t>Atletico Madrid</t>
  </si>
  <si>
    <t>Athletic Bilbao</t>
  </si>
  <si>
    <t>Vs. Athletic Bilbao</t>
  </si>
  <si>
    <t>Vs. Atletico Madrid</t>
  </si>
  <si>
    <t>Started with keep the defense line deep as possible</t>
  </si>
  <si>
    <t>Kick immediately to their strikers or take a shot if possible</t>
  </si>
  <si>
    <t>Slow DCs</t>
  </si>
  <si>
    <t>No good midfielders</t>
  </si>
  <si>
    <t>Goal:</t>
  </si>
  <si>
    <t>Elche</t>
  </si>
  <si>
    <t>Febas, A</t>
  </si>
  <si>
    <t>No obvious threat</t>
  </si>
  <si>
    <t>Lacks physicality, pace, not comfortable passing, lacks technical ability, decision-making, bad form, low team spirit.</t>
  </si>
  <si>
    <t>Vs. Elche</t>
  </si>
  <si>
    <t>Started with keep the defense line intact</t>
  </si>
  <si>
    <t>Their DCs are slow</t>
  </si>
  <si>
    <t>Do they press your DCs/GK?</t>
  </si>
  <si>
    <t>&gt;&gt; High press, DCs remained intact under pressure</t>
  </si>
  <si>
    <t>DCs have low response time</t>
  </si>
  <si>
    <t>Francis Amuzu</t>
  </si>
  <si>
    <t>1.70m / 65kg</t>
  </si>
  <si>
    <t>£10.75M</t>
  </si>
  <si>
    <t>£17k</t>
  </si>
  <si>
    <t>£7.25M</t>
  </si>
  <si>
    <t>£17.5k</t>
  </si>
  <si>
    <t>Vs. Real Hispalis</t>
  </si>
  <si>
    <t>Real Hispalis</t>
  </si>
  <si>
    <t>High tempo</t>
  </si>
  <si>
    <t>Fornals, P</t>
  </si>
  <si>
    <t>Good passing, gifted, creative players, fit and energetic players, high-scoring team, good defensive and disciplinary records</t>
  </si>
  <si>
    <t>Lacks physicality, pace, decision-making skill, low team spirit and aged squad</t>
  </si>
  <si>
    <t>Fullbacks began to break the formation</t>
  </si>
  <si>
    <t>Strikers had no space to receive ball</t>
  </si>
  <si>
    <t>5-1-2-2 or 4-1-2-2-1</t>
  </si>
  <si>
    <r>
      <t xml:space="preserve">Play 4-3-1-2 (if 5-1-2-2) or 5-1-1-1-2 (if 4-1-2-2-1), ball delivered on both wings, </t>
    </r>
    <r>
      <rPr>
        <b/>
        <sz val="11"/>
        <color theme="1"/>
        <rFont val="Aptos"/>
        <family val="2"/>
      </rPr>
      <t xml:space="preserve">DO NOT </t>
    </r>
    <r>
      <rPr>
        <sz val="11"/>
        <color theme="1"/>
        <rFont val="Aptos"/>
        <family val="2"/>
      </rPr>
      <t xml:space="preserve">pass middle, </t>
    </r>
    <r>
      <rPr>
        <b/>
        <sz val="11"/>
        <color theme="1"/>
        <rFont val="Aptos"/>
        <family val="2"/>
      </rPr>
      <t xml:space="preserve">DO NOT </t>
    </r>
    <r>
      <rPr>
        <sz val="11"/>
        <color theme="1"/>
        <rFont val="Aptos"/>
        <family val="2"/>
      </rPr>
      <t>keep defense deep</t>
    </r>
  </si>
  <si>
    <t>Girona</t>
  </si>
  <si>
    <t>Solution</t>
  </si>
  <si>
    <t>4-4-2 Low Block, with Amuzu goes higher</t>
  </si>
  <si>
    <t>They pass through the middle, high possession and attempt to long shot</t>
  </si>
  <si>
    <t>Vs. Girona</t>
  </si>
  <si>
    <t>Allow wide spaces</t>
  </si>
  <si>
    <t>They have slow DCs</t>
  </si>
  <si>
    <t>Midfield too thin, doesn't deliver ball well</t>
  </si>
  <si>
    <t>Formation for final third broken when loosing possession</t>
  </si>
  <si>
    <t>Difficult when defending long balls</t>
  </si>
  <si>
    <t>Boyomo, F and Aimar</t>
  </si>
  <si>
    <t>Transition-Restrict, Ball Retention</t>
  </si>
  <si>
    <t>They pass to midfielders for them to work with the ball</t>
  </si>
  <si>
    <t>Play similarly like Real San Sebastián, however their midfielders cannot find decisive passes and connect wingers with attackers</t>
  </si>
  <si>
    <t>2/5 because what they did in the game was unimpressive</t>
  </si>
  <si>
    <t>Ball Retention and Pressing (5-1-2-2), Transition-Restrict (4-1-2-2-1)</t>
  </si>
  <si>
    <t>4-2-2-2 Low Block</t>
  </si>
  <si>
    <t>4-1-2-2-1 Route One</t>
  </si>
  <si>
    <t>4-4-2 Gegenpress, with Amuzu going higher</t>
  </si>
  <si>
    <t>4-2-2-2 Gegenpress if feeling capable of</t>
  </si>
  <si>
    <t>Ball Retention, Pressing</t>
  </si>
  <si>
    <t>4-2-3-1 Gegenpress</t>
  </si>
  <si>
    <t>Play forward through small passes</t>
  </si>
  <si>
    <t>Play in mid intensity</t>
  </si>
  <si>
    <t>Direct Play, Transition-Press</t>
  </si>
  <si>
    <t>4-3-3 Wide Gegenpress with a dropping Defensive Midfield to stop their SS/AP, have two wingers with one being Inside Forward to cut inside</t>
  </si>
  <si>
    <t>Ball Retention, Direct Play</t>
  </si>
  <si>
    <t>4-1-2-2-1 Gegenpress</t>
  </si>
  <si>
    <t>They pass to wingers, create chances to cross inside. They cooperate with midfielders to deliver the ball inside</t>
  </si>
  <si>
    <t>Final thirds and defense are too separate, leaving the middle in danger</t>
  </si>
  <si>
    <t>4-1-2-2-1 Gegenpress with Attacking formation</t>
  </si>
  <si>
    <t>After coaching the team for eight matches, several recurring weaknesses became clear. The team struggled to make effective use of width, which limited our ability to stretch opposing defenses and create space in the final third. Defensively, we were beaten in the air too frequently, exposing a weakness that is particularly concerning for a team using a Route One approach. Our attacking moves also broke down too often in the final third, suggesting that the team struggled to convert possession and direct play into consistent scoring opportunities. In addition, the goalkeeper's distribution was frequently wasteful, resulting in unnecessary losses of possession and limiting our ability to build effective attacks from the back. Overall, the seven-match sample showed that the team's weaknesses were not limited to individual player quality. There were also structural and tactical issues involving width, aerial defending, final-third execution, and distribution. These findings provide the basis for the next stage of the project: identifying targeted tactical adjustments and determining whether further squad investment is necessary to address the weaknesses revealed through match analysis.</t>
  </si>
  <si>
    <t>£513K per week</t>
  </si>
  <si>
    <t>£46K per week</t>
  </si>
  <si>
    <t>£44K per week</t>
  </si>
  <si>
    <t>£2,256,000</t>
  </si>
  <si>
    <t>£5.5M</t>
  </si>
  <si>
    <t>£6.75M</t>
  </si>
  <si>
    <t>£6.75M-</t>
  </si>
  <si>
    <t>£45M</t>
  </si>
  <si>
    <t>To reach to UEFA Champions League group stage</t>
  </si>
  <si>
    <t>£556K per week</t>
  </si>
  <si>
    <t>£12.5k</t>
  </si>
  <si>
    <t>Direct Play, Ball Retention (4-4-2)</t>
  </si>
  <si>
    <t>Their DCs couldn’t keep up with my team wingers</t>
  </si>
  <si>
    <t>4-3-1-2 Gegenpress</t>
  </si>
  <si>
    <t>Direct Play, Ball Retention</t>
  </si>
  <si>
    <t>4-2-1-3 Gegenpress</t>
  </si>
  <si>
    <t>4-3-3 Route One, 4-3-1-2 Gegenpress</t>
  </si>
  <si>
    <t>The tactical-fit model uses position-specific attribute weights designed around a 4-3-3 Route One and 4-3-1-2 Gegenpress strategy, suggested by Football Manger 2026. Weights were initially determined through tactical reasoning and will be tested through sensitivity analysis and in-game performance.</t>
  </si>
  <si>
    <t>Gegenpress philosophy says that you must immediately press and attempt to win the ball back after losing possession, taking advantage of the opponent while they are still disorganized. With a hardworking midfield, strong teamwork, high stamina, aggressive forwards, and players capable of quickly transitioning between attack and defense, we can optimize this tactic to maintain pressure, recover possession, and create scoring opportunities.</t>
  </si>
  <si>
    <t>Transition-Press, Defensive Shape</t>
  </si>
  <si>
    <t>5-1-1-2-1 Gegenpress</t>
  </si>
  <si>
    <t>4-2-2-2 Tiki-Taka or Gegenpress</t>
  </si>
  <si>
    <t>Ball Retention, Transition-Restrict</t>
  </si>
  <si>
    <t>Direct Play, Defensive Shape</t>
  </si>
  <si>
    <t>Team Report - Summary (End of the season)</t>
  </si>
  <si>
    <t>Team Report - Summary (Begin of the season)</t>
  </si>
  <si>
    <t>Great depth in the central defender position</t>
  </si>
  <si>
    <t>Great depth in the left winger position</t>
  </si>
  <si>
    <t>We are currently one of the form teams in the division</t>
  </si>
  <si>
    <t>We have one of the best defensive records in the division</t>
  </si>
  <si>
    <t>We have one of the best disciplinary records in the division</t>
  </si>
  <si>
    <t>Toni Martínez is our top scorer, with 19 league goals this season</t>
  </si>
  <si>
    <t>Toni Martínez is our top scorer, with only 7 league assists</t>
  </si>
  <si>
    <t>Team is lacking in physicality</t>
  </si>
  <si>
    <t>We only have limited transfer funds to improve the squad</t>
  </si>
  <si>
    <t>Player Data</t>
  </si>
  <si>
    <t>FM26 role most relevant to the planned tactic</t>
  </si>
  <si>
    <t>Player's weekly wage</t>
  </si>
  <si>
    <t>Tactical System</t>
  </si>
  <si>
    <t>Tactical approach being evaluated for the squad</t>
  </si>
  <si>
    <t>Direct attacking approach emphasizing early forward passes, aerial play, second balls, and aggressive transitions</t>
  </si>
  <si>
    <t>Text/Boolean</t>
  </si>
  <si>
    <t>Counter-pressing approach focused on winning the ball back immediately after possession is lost</t>
  </si>
  <si>
    <t>Weighted score measuring how well a player fits the selected tactical system</t>
  </si>
  <si>
    <t>Score (0-100)</t>
  </si>
  <si>
    <t>Score measuring how well a player meets the minimum requirements for their position</t>
  </si>
  <si>
    <t>Minimum acceptable requirement score for a position</t>
  </si>
  <si>
    <t>Critical Attribute</t>
  </si>
  <si>
    <t>Attribute that must meet a defined minimum threshold for a position</t>
  </si>
  <si>
    <t>Indicator showing whether a player meets the defined position requirements</t>
  </si>
  <si>
    <t>Boolean</t>
  </si>
  <si>
    <t>Position Requirement</t>
  </si>
  <si>
    <t>Minimum tactical and/or attribute standards assigned to a position</t>
  </si>
  <si>
    <t>Text/Number</t>
  </si>
  <si>
    <t>Recruitment</t>
  </si>
  <si>
    <t>Squad Need</t>
  </si>
  <si>
    <t>Score representing the strategic importance of filling a positional or squad weakness</t>
  </si>
  <si>
    <t>Priority level assigned to a position or recruitment target</t>
  </si>
  <si>
    <t>Text/Rank</t>
  </si>
  <si>
    <t>Expected or agreed transfer cost for acquiring a player</t>
  </si>
  <si>
    <t>Transfer Market / FM26</t>
  </si>
  <si>
    <t>Value Score</t>
  </si>
  <si>
    <t>Analyst-created score evaluating the player's value relative to cost, quality, age, and/or upside</t>
  </si>
  <si>
    <t>Financial Fit</t>
  </si>
  <si>
    <t>Score measuring whether a player fits the club's transfer and wage constraints</t>
  </si>
  <si>
    <t>Recruitment Score</t>
  </si>
  <si>
    <t>Composite score combining tactical fit, financial fit, squad need, and value/cost efficiency</t>
  </si>
  <si>
    <t>Decision</t>
  </si>
  <si>
    <t>Final recruitment recommendation based on the analytical framework</t>
  </si>
  <si>
    <t>Target Status</t>
  </si>
  <si>
    <t>Current status of a recruitment target, such as Target, Backup, Monitor, or Reject</t>
  </si>
  <si>
    <t>Financial Management</t>
  </si>
  <si>
    <t>Total budget available for transfer fees</t>
  </si>
  <si>
    <t>Maximum weekly wage budget available to the club</t>
  </si>
  <si>
    <t>Currency/Week</t>
  </si>
  <si>
    <t>Current total weekly wage commitment of the squad</t>
  </si>
  <si>
    <t>Individual Wage Limit</t>
  </si>
  <si>
    <t>Maximum acceptable weekly wage for an individual player</t>
  </si>
  <si>
    <t>Budget Utilization</t>
  </si>
  <si>
    <t>Percentage of available transfer or wage budget committed</t>
  </si>
  <si>
    <t>Percentage</t>
  </si>
  <si>
    <t>Remaining Transfer Budget</t>
  </si>
  <si>
    <t>Transfer budget remaining after committed transfer spending</t>
  </si>
  <si>
    <t>Remaining Wage Budget</t>
  </si>
  <si>
    <t>Weekly wage budget remaining after committed wages</t>
  </si>
  <si>
    <t>Wage Efficiency</t>
  </si>
  <si>
    <t>Measure of player contribution or tactical value relative to weekly wage cost</t>
  </si>
  <si>
    <t>Score/Ratio</t>
  </si>
  <si>
    <t>Opportunity Cost</t>
  </si>
  <si>
    <t>Value of the best alternative use of the same financial resources</t>
  </si>
  <si>
    <t>Currency/Score</t>
  </si>
  <si>
    <t>Cost per Tactical Point</t>
  </si>
  <si>
    <t>Transfer cost divided by tactical-fit points contributed</t>
  </si>
  <si>
    <t>Match Performance</t>
  </si>
  <si>
    <t>Match Result</t>
  </si>
  <si>
    <t>Outcome of a match: Win, Draw, or Loss</t>
  </si>
  <si>
    <t>Points</t>
  </si>
  <si>
    <t>League points earned from a match result</t>
  </si>
  <si>
    <t>Goals For</t>
  </si>
  <si>
    <t>Goals scored by Alavés in the match</t>
  </si>
  <si>
    <t>Goals Against</t>
  </si>
  <si>
    <t>Goals conceded by Alavés in the match</t>
  </si>
  <si>
    <t>Goal Difference</t>
  </si>
  <si>
    <t>Goals scored minus goals conceded</t>
  </si>
  <si>
    <t>League Finish</t>
  </si>
  <si>
    <t>Final position in the league table</t>
  </si>
  <si>
    <t>Rank</t>
  </si>
  <si>
    <t>Season Outcome</t>
  </si>
  <si>
    <t>Final competitive outcome of the season</t>
  </si>
  <si>
    <t>FM26/Analyst</t>
  </si>
  <si>
    <t>UCL Qualification</t>
  </si>
  <si>
    <t>Indicator showing whether the team qualified for the UEFA Champions League</t>
  </si>
  <si>
    <t>Opponent Threat</t>
  </si>
  <si>
    <t>Overall threat rating assigned to an opponent based on tactical and squad characteristics</t>
  </si>
  <si>
    <t>Score (1-5)</t>
  </si>
  <si>
    <t>Set-Piece Threat</t>
  </si>
  <si>
    <t>Assessment of the opponent's attacking or defensive set-piece strength</t>
  </si>
  <si>
    <t>Attacking Style</t>
  </si>
  <si>
    <t>Observed or recorded method used by the opponent to create attacking opportunities</t>
  </si>
  <si>
    <t>Defensive Style</t>
  </si>
  <si>
    <t>Observed or recorded method used by the opponent to defend</t>
  </si>
  <si>
    <t>Primary tactical, positional, or individual threat identified in the opponent</t>
  </si>
  <si>
    <t>Primary weakness identified in the opponent that can be exploited</t>
  </si>
  <si>
    <t>Opponents</t>
  </si>
  <si>
    <t>Scores</t>
  </si>
  <si>
    <t>Result</t>
  </si>
  <si>
    <t>0-2</t>
  </si>
  <si>
    <t>Lose</t>
  </si>
  <si>
    <t>1-3</t>
  </si>
  <si>
    <t>0-1</t>
  </si>
  <si>
    <t>Real Oviedo</t>
  </si>
  <si>
    <t>2-1</t>
  </si>
  <si>
    <t>Win</t>
  </si>
  <si>
    <t>2-2</t>
  </si>
  <si>
    <t>1-0</t>
  </si>
  <si>
    <t>1-1</t>
  </si>
  <si>
    <t>3-3</t>
  </si>
  <si>
    <t>3-0</t>
  </si>
  <si>
    <t>0-0</t>
  </si>
  <si>
    <t>1-2</t>
  </si>
  <si>
    <t>2-0</t>
  </si>
  <si>
    <t>3-2</t>
  </si>
  <si>
    <t>4-3</t>
  </si>
  <si>
    <t>4-2</t>
  </si>
  <si>
    <t>Draw</t>
  </si>
  <si>
    <t>Lacks strength in defending rapid counter-attacks and stopping through-ball penetration, struggle significantly to win aerial battles</t>
  </si>
  <si>
    <t>Passing, decisions</t>
  </si>
  <si>
    <t>Route One / Gegenpress / Wing Play Opportunity</t>
  </si>
  <si>
    <t>Focuses on transitioning to defence after losing possession in an attempt to restrict the space in which the opposition can play</t>
  </si>
  <si>
    <t>Focuses on getting the ball from back to front quickly in attempt to exploit the opposition's physical or organistional weaknesses</t>
  </si>
  <si>
    <t>Tika Taka, Transition-Restrict</t>
  </si>
  <si>
    <t>Abel Ruiz</t>
  </si>
  <si>
    <t>Good passing, creative, good disciplinary records</t>
  </si>
  <si>
    <t>Lacks physicality, pace, low team spirit, bad disciplinary records, bad defensive records</t>
  </si>
  <si>
    <t>Fast-paced players, good passing ability, gifted players, creative players, good decision-making, youthful squad, good defensive records</t>
  </si>
  <si>
    <t>Youth Player</t>
  </si>
  <si>
    <t>Budget</t>
  </si>
  <si>
    <t>Wage Budget / Week</t>
  </si>
  <si>
    <t>Spending</t>
  </si>
  <si>
    <t>Current Wage Total / Week</t>
  </si>
  <si>
    <t>Remaining</t>
  </si>
  <si>
    <t>Remaining Wage Budget / Week</t>
  </si>
  <si>
    <t>Utilization</t>
  </si>
  <si>
    <t>Transfer Budget Utilization</t>
  </si>
  <si>
    <t>Wage Budget Utilization</t>
  </si>
  <si>
    <t>La Liga Champions</t>
  </si>
  <si>
    <t>£12.224M</t>
  </si>
  <si>
    <t>Key Strength</t>
  </si>
  <si>
    <t>Selection Reason</t>
  </si>
  <si>
    <t>CB</t>
  </si>
  <si>
    <t>Best overall goalkeeper profile and strongest shot-stopping option in the squad.</t>
  </si>
  <si>
    <t>LB</t>
  </si>
  <si>
    <t>Pace / Teamwork</t>
  </si>
  <si>
    <t>Provides a balanced wide-defender profile with enough pace, stamina, teamwork, and defensive ability for Route One transitions.</t>
  </si>
  <si>
    <t>Tackling / Teamwork</t>
  </si>
  <si>
    <t>Best fit among the available CBs for defensive stability, with the strongest combination of aerial ability, tackling, teamwork, and passing.</t>
  </si>
  <si>
    <t>Teamwork / Positioning</t>
  </si>
  <si>
    <t>Provides defensive reliability and good teamwork, complementing Koski in central defense.</t>
  </si>
  <si>
    <t>RB</t>
  </si>
  <si>
    <t>Pace / Stamina / Teamwork</t>
  </si>
  <si>
    <t>Strong all-around fit for Route One, particularly his pace, stamina, positioning, teamwork, and tackling.</t>
  </si>
  <si>
    <t>Stamina / Teamwork</t>
  </si>
  <si>
    <t>Excellent transition player with strong passing, decisions, teamwork, stamina, and positioning.</t>
  </si>
  <si>
    <t>CM</t>
  </si>
  <si>
    <t>Teamwork / Stamina</t>
  </si>
  <si>
    <t>Technique / Passing</t>
  </si>
  <si>
    <t>Adds technical quality and passing ability to complement the more physical midfield profiles.</t>
  </si>
  <si>
    <t>RW</t>
  </si>
  <si>
    <t>Movement / Teamwork</t>
  </si>
  <si>
    <t>Gives the team width, movement, pace, and teamwork while supporting direct transitions.</t>
  </si>
  <si>
    <t>LW</t>
  </si>
  <si>
    <t>Pace / Dribbling / Movement</t>
  </si>
  <si>
    <t>Excellent transition threat; his pace, movement, and dribbling make him particularly useful for exploiting space after direct balls.</t>
  </si>
  <si>
    <t>Strength / Teamwork / Pace</t>
  </si>
  <si>
    <t>Best central Route One target because of his strength, aerial ability, pace, decisions, and teamwork.</t>
  </si>
  <si>
    <t>Assessment of how exploitable the opponent is through the team's Route One, Gegenpress, and Wing Play approach</t>
  </si>
  <si>
    <t>More balanced Route One profile than Ibáñez, particularly in teamwork, stamina, movement, positioning, and aggression.</t>
  </si>
  <si>
    <t>La Liga Finish</t>
  </si>
  <si>
    <t>1st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</si>
</sst>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809]* #,##0.00_-;\-[$£-809]* #,##0.00_-;_-[$£-809]* &quot;-&quot;??_-;_-@_-"/>
  </numFmts>
  <fonts count="26" x14ac:knownFonts="1">
    <font>
      <sz val="11"/>
      <color theme="1"/>
      <name val="Rockwell"/>
      <family val="2"/>
      <scheme val="minor"/>
    </font>
    <font>
      <sz val="20"/>
      <color theme="1"/>
      <name val="Rockwell"/>
      <family val="2"/>
      <scheme val="minor"/>
    </font>
    <font>
      <sz val="11"/>
      <color theme="1"/>
      <name val="Rockwell"/>
      <family val="2"/>
      <scheme val="minor"/>
    </font>
    <font>
      <sz val="18"/>
      <color theme="1"/>
      <name val="Aptos"/>
      <family val="2"/>
    </font>
    <font>
      <sz val="26"/>
      <color theme="1"/>
      <name val="Aptos"/>
      <family val="2"/>
    </font>
    <font>
      <sz val="20"/>
      <color theme="1"/>
      <name val="Aptos"/>
      <family val="2"/>
    </font>
    <font>
      <sz val="16"/>
      <color theme="1"/>
      <name val="Aptos"/>
      <family val="2"/>
    </font>
    <font>
      <sz val="11"/>
      <color theme="1"/>
      <name val="Aptos"/>
      <family val="2"/>
    </font>
    <font>
      <b/>
      <sz val="11"/>
      <color theme="1"/>
      <name val="Aptos"/>
      <family val="2"/>
    </font>
    <font>
      <sz val="14"/>
      <color theme="1"/>
      <name val="Aptos"/>
      <family val="2"/>
    </font>
    <font>
      <b/>
      <sz val="11"/>
      <color theme="1"/>
      <name val="Aptos"/>
    </font>
    <font>
      <sz val="11"/>
      <color theme="1"/>
      <name val="Aptos"/>
    </font>
    <font>
      <b/>
      <sz val="14"/>
      <color theme="1"/>
      <name val="Aptos"/>
      <family val="2"/>
    </font>
    <font>
      <b/>
      <sz val="36"/>
      <color theme="1"/>
      <name val="Aptos"/>
      <family val="2"/>
    </font>
    <font>
      <sz val="24"/>
      <color theme="1"/>
      <name val="Aptos"/>
      <family val="2"/>
    </font>
    <font>
      <b/>
      <sz val="24"/>
      <color theme="1"/>
      <name val="Aptos"/>
      <family val="2"/>
    </font>
    <font>
      <b/>
      <sz val="20"/>
      <color theme="1"/>
      <name val="Aptos"/>
      <family val="2"/>
    </font>
    <font>
      <b/>
      <sz val="48"/>
      <color theme="1"/>
      <name val="Aptos"/>
      <family val="2"/>
    </font>
    <font>
      <b/>
      <sz val="72"/>
      <name val="Aptos"/>
      <family val="2"/>
    </font>
    <font>
      <b/>
      <sz val="13.5"/>
      <color theme="1"/>
      <name val="Aptos"/>
      <family val="2"/>
    </font>
    <font>
      <b/>
      <sz val="22"/>
      <color theme="1"/>
      <name val="Aptos"/>
      <family val="2"/>
    </font>
    <font>
      <sz val="8"/>
      <name val="Rockwell"/>
      <family val="2"/>
      <scheme val="minor"/>
    </font>
    <font>
      <b/>
      <sz val="18"/>
      <color theme="1"/>
      <name val="Aptos"/>
      <family val="2"/>
    </font>
    <font>
      <b/>
      <sz val="11"/>
      <color rgb="FFFFFFFF"/>
      <name val="Aptos"/>
      <family val="2"/>
    </font>
    <font>
      <sz val="11"/>
      <color rgb="FF000000"/>
      <name val="Aptos"/>
      <family val="2"/>
    </font>
    <font>
      <b/>
      <sz val="48"/>
      <name val="Aptos"/>
      <family val="2"/>
    </font>
  </fonts>
  <fills count="7">
    <fill>
      <patternFill patternType="none"/>
    </fill>
    <fill>
      <patternFill patternType="gray125"/>
    </fill>
    <fill>
      <patternFill patternType="solid">
        <fgColor rgb="FF1F4E78"/>
        <bgColor rgb="FF000000"/>
      </patternFill>
    </fill>
    <fill>
      <patternFill patternType="solid">
        <fgColor theme="3" tint="0.39997558519241921"/>
        <bgColor indexed="64"/>
      </patternFill>
    </fill>
    <fill>
      <patternFill patternType="solid">
        <fgColor rgb="FF00B050"/>
        <bgColor indexed="64"/>
      </patternFill>
    </fill>
    <fill>
      <patternFill patternType="solid">
        <fgColor rgb="FFFFFF00"/>
        <bgColor indexed="64"/>
      </patternFill>
    </fill>
    <fill>
      <patternFill patternType="solid">
        <fgColor rgb="FFE73A23"/>
        <bgColor indexed="64"/>
      </patternFill>
    </fill>
  </fills>
  <borders count="29">
    <border>
      <left/>
      <right/>
      <top/>
      <bottom/>
      <diagonal/>
    </border>
    <border>
      <left/>
      <right/>
      <top/>
      <bottom style="medium">
        <color rgb="FFD9E1F2"/>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E7E6E6"/>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62">
    <xf numFmtId="0" fontId="0" fillId="0" borderId="0" xfId="0"/>
    <xf numFmtId="9" fontId="1" fillId="0" borderId="0" xfId="1" applyFont="1" applyBorder="1"/>
    <xf numFmtId="0" fontId="5" fillId="0" borderId="4" xfId="0" applyFont="1" applyBorder="1"/>
    <xf numFmtId="9" fontId="5" fillId="0" borderId="4" xfId="0" applyNumberFormat="1" applyFont="1" applyBorder="1"/>
    <xf numFmtId="9" fontId="5" fillId="0" borderId="4" xfId="1" applyFont="1" applyBorder="1"/>
    <xf numFmtId="0" fontId="3" fillId="0" borderId="0" xfId="0" applyFont="1" applyAlignment="1">
      <alignment vertical="center" wrapText="1"/>
    </xf>
    <xf numFmtId="0" fontId="3" fillId="0" borderId="0" xfId="0" applyFont="1" applyAlignment="1">
      <alignment vertical="center"/>
    </xf>
    <xf numFmtId="0" fontId="7" fillId="0" borderId="0" xfId="0" applyFont="1"/>
    <xf numFmtId="0" fontId="7" fillId="0" borderId="4" xfId="0" applyFont="1" applyBorder="1"/>
    <xf numFmtId="0" fontId="7" fillId="0" borderId="12" xfId="0" applyFont="1" applyBorder="1"/>
    <xf numFmtId="0" fontId="5" fillId="3" borderId="4" xfId="0" applyFont="1" applyFill="1" applyBorder="1"/>
    <xf numFmtId="0" fontId="9" fillId="3" borderId="4" xfId="0" applyFont="1" applyFill="1" applyBorder="1"/>
    <xf numFmtId="0" fontId="9" fillId="3" borderId="13" xfId="0" applyFont="1" applyFill="1" applyBorder="1"/>
    <xf numFmtId="0" fontId="8" fillId="0" borderId="0" xfId="0" applyFont="1" applyAlignment="1">
      <alignment vertical="center"/>
    </xf>
    <xf numFmtId="0" fontId="6" fillId="3" borderId="4" xfId="0" applyFont="1" applyFill="1" applyBorder="1"/>
    <xf numFmtId="0" fontId="7" fillId="0" borderId="7" xfId="0" applyFont="1" applyBorder="1"/>
    <xf numFmtId="0" fontId="7" fillId="0" borderId="2" xfId="0" applyFont="1" applyBorder="1"/>
    <xf numFmtId="0" fontId="7" fillId="0" borderId="11" xfId="0" applyFont="1" applyBorder="1"/>
    <xf numFmtId="0" fontId="11" fillId="0" borderId="0" xfId="0" applyFont="1"/>
    <xf numFmtId="0" fontId="8" fillId="0" borderId="0" xfId="0" applyFont="1" applyAlignment="1">
      <alignment vertical="center" wrapText="1"/>
    </xf>
    <xf numFmtId="0" fontId="10" fillId="0" borderId="0" xfId="0" applyFont="1" applyAlignment="1">
      <alignment wrapText="1"/>
    </xf>
    <xf numFmtId="0" fontId="4" fillId="0" borderId="0" xfId="0" applyFont="1"/>
    <xf numFmtId="0" fontId="7" fillId="0" borderId="4" xfId="0" applyFont="1" applyBorder="1" applyAlignment="1">
      <alignment vertical="center" wrapText="1"/>
    </xf>
    <xf numFmtId="0" fontId="9" fillId="3" borderId="10" xfId="0" applyFont="1" applyFill="1" applyBorder="1"/>
    <xf numFmtId="0" fontId="7" fillId="0" borderId="5" xfId="0" applyFont="1" applyBorder="1"/>
    <xf numFmtId="0" fontId="7" fillId="5" borderId="4" xfId="0" applyFont="1" applyFill="1" applyBorder="1"/>
    <xf numFmtId="0" fontId="6" fillId="0" borderId="4" xfId="0" applyFont="1" applyBorder="1"/>
    <xf numFmtId="0" fontId="7" fillId="0" borderId="4" xfId="0" applyFont="1" applyBorder="1" applyAlignment="1">
      <alignment wrapText="1"/>
    </xf>
    <xf numFmtId="0" fontId="7" fillId="0" borderId="6" xfId="0" applyFont="1" applyBorder="1"/>
    <xf numFmtId="0" fontId="3" fillId="4" borderId="12" xfId="0" applyFont="1" applyFill="1" applyBorder="1" applyAlignment="1">
      <alignment horizontal="center"/>
    </xf>
    <xf numFmtId="0" fontId="9" fillId="0" borderId="12" xfId="0" applyFont="1" applyBorder="1"/>
    <xf numFmtId="0" fontId="9" fillId="0" borderId="16" xfId="0" applyFont="1" applyBorder="1"/>
    <xf numFmtId="0" fontId="9" fillId="0" borderId="4" xfId="0" applyFont="1" applyBorder="1"/>
    <xf numFmtId="0" fontId="9" fillId="0" borderId="6" xfId="0" applyFont="1" applyBorder="1"/>
    <xf numFmtId="0" fontId="9" fillId="0" borderId="10" xfId="0" applyFont="1" applyBorder="1"/>
    <xf numFmtId="0" fontId="3" fillId="6" borderId="4" xfId="0" applyFont="1" applyFill="1" applyBorder="1" applyAlignment="1">
      <alignment horizontal="center"/>
    </xf>
    <xf numFmtId="9" fontId="6" fillId="0" borderId="4" xfId="0" applyNumberFormat="1" applyFont="1" applyBorder="1"/>
    <xf numFmtId="9" fontId="6" fillId="0" borderId="4" xfId="0" applyNumberFormat="1" applyFont="1" applyBorder="1" applyAlignment="1">
      <alignment horizontal="left"/>
    </xf>
    <xf numFmtId="0" fontId="9" fillId="0" borderId="4" xfId="0" applyFont="1" applyBorder="1" applyAlignment="1">
      <alignment vertical="center"/>
    </xf>
    <xf numFmtId="0" fontId="9" fillId="0" borderId="4" xfId="0" applyFont="1" applyBorder="1" applyAlignment="1">
      <alignment horizontal="right" vertical="center"/>
    </xf>
    <xf numFmtId="0" fontId="12" fillId="0" borderId="4" xfId="0" applyFont="1" applyBorder="1" applyAlignment="1">
      <alignment horizontal="center" vertical="center"/>
    </xf>
    <xf numFmtId="0" fontId="6" fillId="0" borderId="13" xfId="0" applyFont="1" applyBorder="1"/>
    <xf numFmtId="3" fontId="6" fillId="0" borderId="13" xfId="0" applyNumberFormat="1" applyFont="1" applyBorder="1"/>
    <xf numFmtId="0" fontId="7" fillId="0" borderId="4" xfId="0" applyFont="1" applyBorder="1" applyAlignment="1">
      <alignment vertical="center"/>
    </xf>
    <xf numFmtId="49" fontId="7" fillId="0" borderId="4" xfId="0" applyNumberFormat="1" applyFont="1" applyBorder="1" applyAlignment="1">
      <alignment vertical="center"/>
    </xf>
    <xf numFmtId="0" fontId="13" fillId="0" borderId="0" xfId="0" applyFont="1" applyAlignment="1">
      <alignment vertical="center"/>
    </xf>
    <xf numFmtId="0" fontId="19" fillId="0" borderId="0" xfId="0" applyFont="1" applyAlignment="1">
      <alignment vertical="center"/>
    </xf>
    <xf numFmtId="0" fontId="7" fillId="0" borderId="0" xfId="0" applyFont="1" applyAlignment="1">
      <alignment horizontal="left" vertical="center" indent="1"/>
    </xf>
    <xf numFmtId="0" fontId="20" fillId="0" borderId="0" xfId="0" applyFont="1"/>
    <xf numFmtId="0" fontId="7" fillId="0" borderId="3" xfId="0" applyFont="1" applyBorder="1"/>
    <xf numFmtId="0" fontId="7" fillId="0" borderId="8" xfId="0" applyFont="1" applyBorder="1"/>
    <xf numFmtId="0" fontId="7" fillId="0" borderId="9" xfId="0" applyFont="1" applyBorder="1"/>
    <xf numFmtId="0" fontId="7" fillId="0" borderId="6" xfId="0" applyFont="1" applyBorder="1" applyAlignment="1">
      <alignment horizontal="left" vertical="center" indent="1"/>
    </xf>
    <xf numFmtId="0" fontId="7" fillId="0" borderId="10" xfId="0" applyFont="1" applyBorder="1" applyAlignment="1">
      <alignment horizontal="left" vertical="center" indent="1"/>
    </xf>
    <xf numFmtId="0" fontId="7" fillId="0" borderId="7" xfId="0" applyFont="1" applyBorder="1" applyAlignment="1">
      <alignment horizontal="left" vertical="center" indent="1"/>
    </xf>
    <xf numFmtId="0" fontId="7" fillId="0" borderId="9" xfId="0" applyFont="1" applyBorder="1" applyAlignment="1">
      <alignment vertical="center"/>
    </xf>
    <xf numFmtId="0" fontId="7" fillId="0" borderId="11" xfId="0" applyFont="1" applyBorder="1" applyAlignment="1">
      <alignment vertical="center" wrapText="1"/>
    </xf>
    <xf numFmtId="0" fontId="8" fillId="0" borderId="4" xfId="0" applyFont="1" applyBorder="1" applyAlignment="1">
      <alignment horizontal="right" vertical="center"/>
    </xf>
    <xf numFmtId="49" fontId="7" fillId="0" borderId="4" xfId="0" applyNumberFormat="1" applyFont="1" applyBorder="1" applyAlignment="1">
      <alignment horizontal="right" vertical="center"/>
    </xf>
    <xf numFmtId="14" fontId="6" fillId="0" borderId="4" xfId="0" applyNumberFormat="1" applyFont="1" applyBorder="1" applyAlignment="1">
      <alignment horizontal="center"/>
    </xf>
    <xf numFmtId="0" fontId="7" fillId="0" borderId="0" xfId="0" applyFont="1" applyAlignment="1">
      <alignment wrapText="1"/>
    </xf>
    <xf numFmtId="0" fontId="7" fillId="0" borderId="9" xfId="0" applyFont="1" applyBorder="1" applyAlignment="1">
      <alignment wrapText="1"/>
    </xf>
    <xf numFmtId="49" fontId="7" fillId="0" borderId="4" xfId="0" applyNumberFormat="1" applyFont="1" applyBorder="1"/>
    <xf numFmtId="0" fontId="7" fillId="0" borderId="2" xfId="0" applyFont="1" applyBorder="1" applyAlignment="1">
      <alignment horizontal="left" vertical="center" indent="1"/>
    </xf>
    <xf numFmtId="0" fontId="7" fillId="0" borderId="0" xfId="0" applyFont="1" applyAlignment="1">
      <alignment vertical="center"/>
    </xf>
    <xf numFmtId="0" fontId="7" fillId="0" borderId="2" xfId="0" applyFont="1" applyBorder="1" applyAlignment="1">
      <alignment wrapText="1"/>
    </xf>
    <xf numFmtId="0" fontId="7" fillId="0" borderId="11" xfId="0" applyFont="1" applyBorder="1" applyAlignment="1">
      <alignment wrapText="1"/>
    </xf>
    <xf numFmtId="0" fontId="7" fillId="0" borderId="0" xfId="0" applyFont="1" applyAlignment="1">
      <alignment horizontal="left" vertical="center"/>
    </xf>
    <xf numFmtId="0" fontId="7" fillId="0" borderId="12" xfId="0" applyFont="1" applyBorder="1" applyAlignment="1">
      <alignment vertical="center" wrapText="1"/>
    </xf>
    <xf numFmtId="0" fontId="7" fillId="0" borderId="9" xfId="0" applyFont="1" applyBorder="1" applyAlignment="1">
      <alignment vertical="center" wrapText="1"/>
    </xf>
    <xf numFmtId="0" fontId="6" fillId="0" borderId="5" xfId="0" applyFont="1" applyBorder="1" applyAlignment="1">
      <alignment horizontal="center"/>
    </xf>
    <xf numFmtId="0" fontId="6" fillId="0" borderId="4" xfId="0" applyFont="1" applyBorder="1" applyAlignment="1">
      <alignment horizontal="center"/>
    </xf>
    <xf numFmtId="0" fontId="7" fillId="0" borderId="3" xfId="0" applyFont="1" applyBorder="1" applyAlignment="1">
      <alignment horizontal="center"/>
    </xf>
    <xf numFmtId="0" fontId="7" fillId="0" borderId="0" xfId="0" applyFont="1" applyAlignment="1">
      <alignment horizontal="center"/>
    </xf>
    <xf numFmtId="0" fontId="8" fillId="0" borderId="0" xfId="0" applyFont="1" applyAlignment="1">
      <alignment horizontal="center"/>
    </xf>
    <xf numFmtId="0" fontId="14" fillId="0" borderId="0" xfId="0" applyFont="1" applyAlignment="1">
      <alignment wrapText="1"/>
    </xf>
    <xf numFmtId="0" fontId="0" fillId="0" borderId="6" xfId="0" applyBorder="1"/>
    <xf numFmtId="0" fontId="0" fillId="0" borderId="9" xfId="0" applyBorder="1"/>
    <xf numFmtId="0" fontId="3" fillId="0" borderId="6" xfId="0" applyFont="1" applyBorder="1" applyAlignment="1">
      <alignment vertical="center" wrapText="1"/>
    </xf>
    <xf numFmtId="0" fontId="0" fillId="0" borderId="2" xfId="0" applyBorder="1"/>
    <xf numFmtId="0" fontId="0" fillId="0" borderId="11" xfId="0" applyBorder="1"/>
    <xf numFmtId="0" fontId="9" fillId="0" borderId="0" xfId="0" applyFont="1"/>
    <xf numFmtId="0" fontId="3" fillId="4" borderId="4" xfId="0" applyFont="1" applyFill="1" applyBorder="1" applyAlignment="1">
      <alignment horizontal="center"/>
    </xf>
    <xf numFmtId="0" fontId="7" fillId="0" borderId="0" xfId="0" applyFont="1" applyAlignment="1">
      <alignment horizontal="center" wrapText="1"/>
    </xf>
    <xf numFmtId="0" fontId="23" fillId="2" borderId="1" xfId="0" applyFont="1" applyFill="1" applyBorder="1" applyAlignment="1">
      <alignment horizontal="center" vertical="center"/>
    </xf>
    <xf numFmtId="0" fontId="24" fillId="0" borderId="28" xfId="0" applyFont="1" applyBorder="1" applyAlignment="1">
      <alignment vertical="top"/>
    </xf>
    <xf numFmtId="49" fontId="6" fillId="0" borderId="4" xfId="0" applyNumberFormat="1" applyFont="1" applyBorder="1" applyAlignment="1">
      <alignment horizontal="center"/>
    </xf>
    <xf numFmtId="0" fontId="6" fillId="0" borderId="0" xfId="0" applyFont="1" applyAlignment="1">
      <alignment horizontal="center"/>
    </xf>
    <xf numFmtId="49" fontId="6" fillId="0" borderId="0" xfId="0" applyNumberFormat="1" applyFont="1" applyAlignment="1">
      <alignment horizontal="center"/>
    </xf>
    <xf numFmtId="0" fontId="12" fillId="0" borderId="4" xfId="0" applyFont="1" applyBorder="1" applyAlignment="1">
      <alignment horizontal="right" vertical="center"/>
    </xf>
    <xf numFmtId="43" fontId="9" fillId="0" borderId="4" xfId="2" applyFont="1" applyBorder="1" applyAlignment="1">
      <alignment horizontal="right" vertical="center"/>
    </xf>
    <xf numFmtId="0" fontId="25" fillId="0" borderId="0" xfId="0" applyFont="1" applyAlignment="1">
      <alignment vertical="center"/>
    </xf>
    <xf numFmtId="0" fontId="3" fillId="3" borderId="4" xfId="0" applyFont="1" applyFill="1" applyBorder="1" applyAlignment="1">
      <alignment vertical="center"/>
    </xf>
    <xf numFmtId="0" fontId="7" fillId="0" borderId="15" xfId="0" applyFont="1" applyBorder="1"/>
    <xf numFmtId="0" fontId="9" fillId="0" borderId="13" xfId="0" applyFont="1" applyBorder="1"/>
    <xf numFmtId="164" fontId="7" fillId="0" borderId="4" xfId="0" applyNumberFormat="1" applyFont="1" applyBorder="1" applyAlignment="1">
      <alignment horizontal="right" vertical="center"/>
    </xf>
    <xf numFmtId="43" fontId="7" fillId="0" borderId="4" xfId="2" applyFont="1" applyBorder="1" applyAlignment="1">
      <alignment horizontal="right" vertical="center"/>
    </xf>
    <xf numFmtId="0" fontId="7" fillId="0" borderId="4" xfId="0" applyFont="1" applyBorder="1" applyAlignment="1">
      <alignment horizontal="right" vertical="center"/>
    </xf>
    <xf numFmtId="0" fontId="8" fillId="3" borderId="4" xfId="0" applyFont="1" applyFill="1" applyBorder="1" applyAlignment="1">
      <alignment horizontal="center" vertical="center" wrapText="1"/>
    </xf>
    <xf numFmtId="0" fontId="8" fillId="3" borderId="4" xfId="0" applyFont="1" applyFill="1" applyBorder="1" applyAlignment="1">
      <alignment horizontal="right" vertical="center" wrapText="1"/>
    </xf>
    <xf numFmtId="0" fontId="8" fillId="0" borderId="4" xfId="0" applyFont="1" applyBorder="1" applyAlignment="1">
      <alignment horizontal="right" vertical="center" wrapText="1"/>
    </xf>
    <xf numFmtId="0" fontId="7" fillId="0" borderId="4" xfId="0" applyFont="1" applyBorder="1" applyAlignment="1">
      <alignment horizontal="center"/>
    </xf>
    <xf numFmtId="0" fontId="22" fillId="0" borderId="5" xfId="0" applyFont="1" applyBorder="1" applyAlignment="1">
      <alignment horizontal="center" vertical="center"/>
    </xf>
    <xf numFmtId="0" fontId="22" fillId="0" borderId="14" xfId="0" applyFont="1" applyBorder="1" applyAlignment="1">
      <alignment horizontal="center" vertical="center"/>
    </xf>
    <xf numFmtId="0" fontId="22" fillId="0" borderId="15" xfId="0" applyFont="1" applyBorder="1" applyAlignment="1">
      <alignment horizontal="center" vertical="center"/>
    </xf>
    <xf numFmtId="0" fontId="7" fillId="0" borderId="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1" xfId="0" applyFont="1" applyBorder="1" applyAlignment="1">
      <alignment horizontal="center" vertical="center" wrapText="1"/>
    </xf>
    <xf numFmtId="0" fontId="17" fillId="0" borderId="25" xfId="0" applyFont="1" applyBorder="1" applyAlignment="1">
      <alignment horizontal="center"/>
    </xf>
    <xf numFmtId="0" fontId="17" fillId="0" borderId="26" xfId="0" applyFont="1" applyBorder="1" applyAlignment="1">
      <alignment horizontal="center"/>
    </xf>
    <xf numFmtId="0" fontId="17" fillId="0" borderId="27" xfId="0" applyFont="1" applyBorder="1" applyAlignment="1">
      <alignment horizontal="center"/>
    </xf>
    <xf numFmtId="0" fontId="22" fillId="0" borderId="5" xfId="0" applyFont="1" applyBorder="1" applyAlignment="1">
      <alignment horizontal="center"/>
    </xf>
    <xf numFmtId="0" fontId="22" fillId="0" borderId="15" xfId="0" applyFont="1" applyBorder="1" applyAlignment="1">
      <alignment horizontal="center"/>
    </xf>
    <xf numFmtId="0" fontId="14" fillId="0" borderId="6" xfId="0" applyFont="1" applyBorder="1" applyAlignment="1">
      <alignment horizontal="center" vertical="center" wrapText="1"/>
    </xf>
    <xf numFmtId="0" fontId="14" fillId="0" borderId="0" xfId="0" applyFont="1" applyAlignment="1">
      <alignment horizontal="center" vertical="center" wrapText="1"/>
    </xf>
    <xf numFmtId="0" fontId="14" fillId="0" borderId="10" xfId="0" applyFont="1" applyBorder="1" applyAlignment="1">
      <alignment horizontal="center" vertical="center" wrapText="1"/>
    </xf>
    <xf numFmtId="0" fontId="14" fillId="0" borderId="2" xfId="0" applyFont="1" applyBorder="1" applyAlignment="1">
      <alignment horizontal="center" vertical="center" wrapText="1"/>
    </xf>
    <xf numFmtId="0" fontId="15" fillId="0" borderId="0" xfId="0" applyFont="1" applyAlignment="1">
      <alignment horizontal="center" vertical="center" wrapText="1"/>
    </xf>
    <xf numFmtId="0" fontId="15"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18" fillId="0" borderId="0" xfId="0" applyFont="1" applyAlignment="1">
      <alignment horizontal="center" vertical="center"/>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8" fillId="0" borderId="17" xfId="0" applyFont="1" applyBorder="1" applyAlignment="1">
      <alignment horizontal="center" vertical="center"/>
    </xf>
    <xf numFmtId="0" fontId="18" fillId="0" borderId="24" xfId="0" applyFont="1" applyBorder="1" applyAlignment="1">
      <alignment horizontal="center" vertical="center"/>
    </xf>
    <xf numFmtId="0" fontId="4" fillId="0" borderId="0" xfId="0" applyFont="1" applyAlignment="1">
      <alignment horizontal="center" vertical="center" wrapText="1"/>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13" fillId="0" borderId="8"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wrapText="1"/>
    </xf>
    <xf numFmtId="0" fontId="7" fillId="0" borderId="9" xfId="0" applyFont="1" applyBorder="1" applyAlignment="1">
      <alignment horizontal="center" wrapText="1"/>
    </xf>
    <xf numFmtId="0" fontId="16" fillId="0" borderId="4" xfId="0" applyFont="1" applyBorder="1" applyAlignment="1">
      <alignment horizontal="center"/>
    </xf>
    <xf numFmtId="0" fontId="8" fillId="0" borderId="4"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0" xfId="0" applyFont="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17" xfId="0" applyFont="1" applyBorder="1" applyAlignment="1">
      <alignment horizontal="center" vertical="center"/>
    </xf>
    <xf numFmtId="0" fontId="13" fillId="0" borderId="24" xfId="0" applyFont="1" applyBorder="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xf>
    <xf numFmtId="0" fontId="7" fillId="0" borderId="11" xfId="0" applyFont="1" applyBorder="1" applyAlignment="1">
      <alignment horizontal="center"/>
    </xf>
    <xf numFmtId="0" fontId="7" fillId="0" borderId="9" xfId="0" applyFont="1" applyBorder="1" applyAlignment="1">
      <alignment horizontal="center" vertical="center"/>
    </xf>
    <xf numFmtId="0" fontId="7" fillId="0" borderId="2" xfId="0" applyFont="1" applyBorder="1" applyAlignment="1">
      <alignment horizontal="center" wrapText="1"/>
    </xf>
    <xf numFmtId="0" fontId="7" fillId="0" borderId="11" xfId="0" applyFont="1" applyBorder="1" applyAlignment="1">
      <alignment horizontal="center" wrapText="1"/>
    </xf>
  </cellXfs>
  <cellStyles count="3">
    <cellStyle name="Comma" xfId="2" builtinId="3"/>
    <cellStyle name="Normal" xfId="0" builtinId="0"/>
    <cellStyle name="Percent" xfId="1" builtinId="5"/>
  </cellStyles>
  <dxfs count="36">
    <dxf>
      <fill>
        <gradientFill>
          <stop position="0">
            <color theme="0"/>
          </stop>
          <stop position="1">
            <color theme="2" tint="-0.49803155613879818"/>
          </stop>
        </gradientFill>
      </fill>
    </dxf>
    <dxf>
      <fill>
        <gradientFill>
          <stop position="0">
            <color theme="0"/>
          </stop>
          <stop position="1">
            <color theme="2" tint="-0.49803155613879818"/>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ill>
        <gradientFill degree="90">
          <stop position="0">
            <color theme="0"/>
          </stop>
          <stop position="0.5">
            <color rgb="FFE73A23"/>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ill>
        <gradientFill degree="90">
          <stop position="0">
            <color theme="0"/>
          </stop>
          <stop position="0.5">
            <color rgb="FFE73A23"/>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ill>
        <gradientFill degree="90">
          <stop position="0">
            <color theme="0"/>
          </stop>
          <stop position="0.5">
            <color rgb="FFE73A23"/>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ill>
        <gradientFill degree="90">
          <stop position="0">
            <color theme="0"/>
          </stop>
          <stop position="0.5">
            <color rgb="FFE73A23"/>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ont>
        <color theme="1"/>
      </font>
      <fill>
        <gradientFill degree="90">
          <stop position="0">
            <color theme="0"/>
          </stop>
          <stop position="0.5">
            <color theme="2" tint="-0.25098422193060094"/>
          </stop>
          <stop position="1">
            <color theme="0"/>
          </stop>
        </gradientFill>
      </fill>
    </dxf>
    <dxf>
      <fill>
        <gradientFill degree="90">
          <stop position="0">
            <color theme="0"/>
          </stop>
          <stop position="0.5">
            <color rgb="FF00B050"/>
          </stop>
          <stop position="1">
            <color theme="0"/>
          </stop>
        </gradientFill>
      </fill>
    </dxf>
    <dxf>
      <fill>
        <gradientFill degree="90">
          <stop position="0">
            <color theme="0"/>
          </stop>
          <stop position="0.5">
            <color rgb="FFFFC000"/>
          </stop>
          <stop position="1">
            <color theme="0"/>
          </stop>
        </gradientFill>
      </fill>
    </dxf>
    <dxf>
      <fill>
        <gradientFill degree="90">
          <stop position="0">
            <color theme="0"/>
          </stop>
          <stop position="0.5">
            <color theme="9" tint="0.40000610370189521"/>
          </stop>
          <stop position="1">
            <color theme="0"/>
          </stop>
        </gradientFill>
      </fill>
    </dxf>
    <dxf>
      <fill>
        <gradientFill>
          <stop position="0">
            <color theme="0"/>
          </stop>
          <stop position="1">
            <color theme="2" tint="-0.49803155613879818"/>
          </stop>
        </gradientFill>
      </fill>
    </dxf>
    <dxf>
      <fill>
        <gradientFill>
          <stop position="0">
            <color theme="0"/>
          </stop>
          <stop position="1">
            <color theme="2" tint="-0.49803155613879818"/>
          </stop>
        </gradientFill>
      </fill>
    </dxf>
  </dxfs>
  <tableStyles count="0" defaultTableStyle="TableStyleMedium2" defaultPivotStyle="PivotStyleLight16"/>
  <colors>
    <mruColors>
      <color rgb="FFE73A2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Playstyle!$B$42</c:f>
              <c:strCache>
                <c:ptCount val="1"/>
                <c:pt idx="0">
                  <c:v>GK</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Playstyle!$A$43:$A$52</c:f>
              <c:strCache>
                <c:ptCount val="10"/>
                <c:pt idx="0">
                  <c:v>Reflexes</c:v>
                </c:pt>
                <c:pt idx="1">
                  <c:v>Handling</c:v>
                </c:pt>
                <c:pt idx="2">
                  <c:v>Aerial</c:v>
                </c:pt>
                <c:pt idx="3">
                  <c:v>Positioning</c:v>
                </c:pt>
                <c:pt idx="4">
                  <c:v>Agility</c:v>
                </c:pt>
                <c:pt idx="5">
                  <c:v>Kicking</c:v>
                </c:pt>
                <c:pt idx="6">
                  <c:v>Technique</c:v>
                </c:pt>
                <c:pt idx="7">
                  <c:v>Decisions</c:v>
                </c:pt>
                <c:pt idx="8">
                  <c:v>Communication</c:v>
                </c:pt>
                <c:pt idx="9">
                  <c:v>Teamwork</c:v>
                </c:pt>
              </c:strCache>
            </c:strRef>
          </c:cat>
          <c:val>
            <c:numRef>
              <c:f>Playstyle!$B$43:$B$52</c:f>
              <c:numCache>
                <c:formatCode>0%</c:formatCode>
                <c:ptCount val="10"/>
                <c:pt idx="0">
                  <c:v>0.15</c:v>
                </c:pt>
                <c:pt idx="1">
                  <c:v>0.1</c:v>
                </c:pt>
                <c:pt idx="2">
                  <c:v>0.1</c:v>
                </c:pt>
                <c:pt idx="3">
                  <c:v>0.1</c:v>
                </c:pt>
                <c:pt idx="4">
                  <c:v>0.1</c:v>
                </c:pt>
                <c:pt idx="5">
                  <c:v>0.15</c:v>
                </c:pt>
                <c:pt idx="6">
                  <c:v>0.1</c:v>
                </c:pt>
                <c:pt idx="7">
                  <c:v>0.1</c:v>
                </c:pt>
                <c:pt idx="8">
                  <c:v>0.05</c:v>
                </c:pt>
                <c:pt idx="9">
                  <c:v>0.05</c:v>
                </c:pt>
              </c:numCache>
            </c:numRef>
          </c:val>
          <c:extLst>
            <c:ext xmlns:c16="http://schemas.microsoft.com/office/drawing/2014/chart" uri="{C3380CC4-5D6E-409C-BE32-E72D297353CC}">
              <c16:uniqueId val="{00000000-0E1F-40D9-96F8-EE25F7361DED}"/>
            </c:ext>
          </c:extLst>
        </c:ser>
        <c:dLbls>
          <c:showLegendKey val="0"/>
          <c:showVal val="0"/>
          <c:showCatName val="0"/>
          <c:showSerName val="0"/>
          <c:showPercent val="0"/>
          <c:showBubbleSize val="0"/>
        </c:dLbls>
        <c:axId val="26461904"/>
        <c:axId val="26454704"/>
      </c:radarChart>
      <c:catAx>
        <c:axId val="2646190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454704"/>
        <c:crosses val="autoZero"/>
        <c:auto val="1"/>
        <c:lblAlgn val="ctr"/>
        <c:lblOffset val="100"/>
        <c:noMultiLvlLbl val="0"/>
      </c:catAx>
      <c:valAx>
        <c:axId val="26454704"/>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646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r>
              <a:rPr lang="en-US"/>
              <a:t>DL + DR</a:t>
            </a:r>
          </a:p>
        </c:rich>
      </c:tx>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Playstyle!$G$43:$G$51</c:f>
              <c:strCache>
                <c:ptCount val="9"/>
                <c:pt idx="0">
                  <c:v>Positioning</c:v>
                </c:pt>
                <c:pt idx="1">
                  <c:v>Decisions</c:v>
                </c:pt>
                <c:pt idx="2">
                  <c:v>Teamwork</c:v>
                </c:pt>
                <c:pt idx="3">
                  <c:v>Pace</c:v>
                </c:pt>
                <c:pt idx="4">
                  <c:v>Stamina</c:v>
                </c:pt>
                <c:pt idx="5">
                  <c:v>Crossing</c:v>
                </c:pt>
                <c:pt idx="6">
                  <c:v>Passing</c:v>
                </c:pt>
                <c:pt idx="7">
                  <c:v>Tackling</c:v>
                </c:pt>
                <c:pt idx="8">
                  <c:v>Aggression</c:v>
                </c:pt>
              </c:strCache>
            </c:strRef>
          </c:cat>
          <c:val>
            <c:numRef>
              <c:f>Playstyle!$H$43:$H$51</c:f>
              <c:numCache>
                <c:formatCode>0%</c:formatCode>
                <c:ptCount val="9"/>
                <c:pt idx="0">
                  <c:v>0.1</c:v>
                </c:pt>
                <c:pt idx="1">
                  <c:v>0.1</c:v>
                </c:pt>
                <c:pt idx="2">
                  <c:v>0.1</c:v>
                </c:pt>
                <c:pt idx="3">
                  <c:v>0.1</c:v>
                </c:pt>
                <c:pt idx="4">
                  <c:v>0.15</c:v>
                </c:pt>
                <c:pt idx="5">
                  <c:v>0.15</c:v>
                </c:pt>
                <c:pt idx="6">
                  <c:v>0.15</c:v>
                </c:pt>
                <c:pt idx="7">
                  <c:v>0.1</c:v>
                </c:pt>
                <c:pt idx="8">
                  <c:v>0.05</c:v>
                </c:pt>
              </c:numCache>
            </c:numRef>
          </c:val>
          <c:extLst>
            <c:ext xmlns:c16="http://schemas.microsoft.com/office/drawing/2014/chart" uri="{C3380CC4-5D6E-409C-BE32-E72D297353CC}">
              <c16:uniqueId val="{00000000-4305-44ED-9ADE-4B9FB11D7DE1}"/>
            </c:ext>
          </c:extLst>
        </c:ser>
        <c:dLbls>
          <c:showLegendKey val="0"/>
          <c:showVal val="0"/>
          <c:showCatName val="0"/>
          <c:showSerName val="0"/>
          <c:showPercent val="0"/>
          <c:showBubbleSize val="0"/>
        </c:dLbls>
        <c:axId val="115968688"/>
        <c:axId val="115971088"/>
      </c:radarChart>
      <c:catAx>
        <c:axId val="11596868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971088"/>
        <c:crosses val="autoZero"/>
        <c:auto val="1"/>
        <c:lblAlgn val="ctr"/>
        <c:lblOffset val="100"/>
        <c:noMultiLvlLbl val="0"/>
      </c:catAx>
      <c:valAx>
        <c:axId val="115971088"/>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11596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Playstyle!$E$42</c:f>
              <c:strCache>
                <c:ptCount val="1"/>
                <c:pt idx="0">
                  <c:v>DC</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Playstyle!$D$43:$D$50</c:f>
              <c:strCache>
                <c:ptCount val="8"/>
                <c:pt idx="0">
                  <c:v>Aerial</c:v>
                </c:pt>
                <c:pt idx="1">
                  <c:v>Positioning</c:v>
                </c:pt>
                <c:pt idx="2">
                  <c:v>Technique</c:v>
                </c:pt>
                <c:pt idx="3">
                  <c:v>Decisions</c:v>
                </c:pt>
                <c:pt idx="4">
                  <c:v>Teamwork</c:v>
                </c:pt>
                <c:pt idx="5">
                  <c:v>Passing</c:v>
                </c:pt>
                <c:pt idx="6">
                  <c:v>Tackling</c:v>
                </c:pt>
                <c:pt idx="7">
                  <c:v>Strength</c:v>
                </c:pt>
              </c:strCache>
            </c:strRef>
          </c:cat>
          <c:val>
            <c:numRef>
              <c:f>Playstyle!$E$43:$E$50</c:f>
              <c:numCache>
                <c:formatCode>0%</c:formatCode>
                <c:ptCount val="8"/>
                <c:pt idx="0">
                  <c:v>0.2</c:v>
                </c:pt>
                <c:pt idx="1">
                  <c:v>0.15</c:v>
                </c:pt>
                <c:pt idx="2">
                  <c:v>0.05</c:v>
                </c:pt>
                <c:pt idx="3">
                  <c:v>0.1</c:v>
                </c:pt>
                <c:pt idx="4">
                  <c:v>0.05</c:v>
                </c:pt>
                <c:pt idx="5">
                  <c:v>0.15</c:v>
                </c:pt>
                <c:pt idx="6">
                  <c:v>0.1</c:v>
                </c:pt>
                <c:pt idx="7">
                  <c:v>0.2</c:v>
                </c:pt>
              </c:numCache>
            </c:numRef>
          </c:val>
          <c:extLst>
            <c:ext xmlns:c16="http://schemas.microsoft.com/office/drawing/2014/chart" uri="{C3380CC4-5D6E-409C-BE32-E72D297353CC}">
              <c16:uniqueId val="{00000000-E394-4715-8111-CC9411DEBE3D}"/>
            </c:ext>
          </c:extLst>
        </c:ser>
        <c:dLbls>
          <c:showLegendKey val="0"/>
          <c:showVal val="0"/>
          <c:showCatName val="0"/>
          <c:showSerName val="0"/>
          <c:showPercent val="0"/>
          <c:showBubbleSize val="0"/>
        </c:dLbls>
        <c:axId val="239711952"/>
        <c:axId val="239697072"/>
      </c:radarChart>
      <c:catAx>
        <c:axId val="23971195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697072"/>
        <c:crosses val="autoZero"/>
        <c:auto val="1"/>
        <c:lblAlgn val="ctr"/>
        <c:lblOffset val="100"/>
        <c:noMultiLvlLbl val="0"/>
      </c:catAx>
      <c:valAx>
        <c:axId val="23969707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1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Playstyle!$L$42</c:f>
              <c:strCache>
                <c:ptCount val="1"/>
                <c:pt idx="0">
                  <c:v>DM</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Playstyle!$K$43:$K$50</c:f>
              <c:strCache>
                <c:ptCount val="8"/>
                <c:pt idx="0">
                  <c:v>Positioning</c:v>
                </c:pt>
                <c:pt idx="1">
                  <c:v>Technique</c:v>
                </c:pt>
                <c:pt idx="2">
                  <c:v>Decisions</c:v>
                </c:pt>
                <c:pt idx="3">
                  <c:v>Teamwork</c:v>
                </c:pt>
                <c:pt idx="4">
                  <c:v>Stamina</c:v>
                </c:pt>
                <c:pt idx="5">
                  <c:v>Passing</c:v>
                </c:pt>
                <c:pt idx="6">
                  <c:v>Tackling</c:v>
                </c:pt>
                <c:pt idx="7">
                  <c:v>Strength</c:v>
                </c:pt>
              </c:strCache>
            </c:strRef>
          </c:cat>
          <c:val>
            <c:numRef>
              <c:f>Playstyle!$L$43:$L$50</c:f>
              <c:numCache>
                <c:formatCode>0%</c:formatCode>
                <c:ptCount val="8"/>
                <c:pt idx="0">
                  <c:v>0.15</c:v>
                </c:pt>
                <c:pt idx="1">
                  <c:v>0.1</c:v>
                </c:pt>
                <c:pt idx="2">
                  <c:v>0.15</c:v>
                </c:pt>
                <c:pt idx="3">
                  <c:v>0.15</c:v>
                </c:pt>
                <c:pt idx="4">
                  <c:v>0.1</c:v>
                </c:pt>
                <c:pt idx="5">
                  <c:v>0.2</c:v>
                </c:pt>
                <c:pt idx="6">
                  <c:v>0.05</c:v>
                </c:pt>
                <c:pt idx="7">
                  <c:v>0.1</c:v>
                </c:pt>
              </c:numCache>
            </c:numRef>
          </c:val>
          <c:extLst>
            <c:ext xmlns:c16="http://schemas.microsoft.com/office/drawing/2014/chart" uri="{C3380CC4-5D6E-409C-BE32-E72D297353CC}">
              <c16:uniqueId val="{00000000-DE97-432F-84ED-6AA623901C06}"/>
            </c:ext>
          </c:extLst>
        </c:ser>
        <c:dLbls>
          <c:showLegendKey val="0"/>
          <c:showVal val="0"/>
          <c:showCatName val="0"/>
          <c:showSerName val="0"/>
          <c:showPercent val="0"/>
          <c:showBubbleSize val="0"/>
        </c:dLbls>
        <c:axId val="239704272"/>
        <c:axId val="239708592"/>
      </c:radarChart>
      <c:catAx>
        <c:axId val="23970427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708592"/>
        <c:crosses val="autoZero"/>
        <c:auto val="1"/>
        <c:lblAlgn val="ctr"/>
        <c:lblOffset val="100"/>
        <c:noMultiLvlLbl val="0"/>
      </c:catAx>
      <c:valAx>
        <c:axId val="23970859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0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Playstyle!$B$55</c:f>
              <c:strCache>
                <c:ptCount val="1"/>
                <c:pt idx="0">
                  <c:v>MC</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Playstyle!$A$56:$A$64</c:f>
              <c:strCache>
                <c:ptCount val="9"/>
                <c:pt idx="0">
                  <c:v>Positioning</c:v>
                </c:pt>
                <c:pt idx="1">
                  <c:v>Technique</c:v>
                </c:pt>
                <c:pt idx="2">
                  <c:v>Decisions</c:v>
                </c:pt>
                <c:pt idx="3">
                  <c:v>Teamwork</c:v>
                </c:pt>
                <c:pt idx="4">
                  <c:v>Stamina</c:v>
                </c:pt>
                <c:pt idx="5">
                  <c:v>Passing</c:v>
                </c:pt>
                <c:pt idx="6">
                  <c:v>Aggression</c:v>
                </c:pt>
                <c:pt idx="7">
                  <c:v>Strength</c:v>
                </c:pt>
                <c:pt idx="8">
                  <c:v>Movement</c:v>
                </c:pt>
              </c:strCache>
            </c:strRef>
          </c:cat>
          <c:val>
            <c:numRef>
              <c:f>Playstyle!$B$56:$B$64</c:f>
              <c:numCache>
                <c:formatCode>0%</c:formatCode>
                <c:ptCount val="9"/>
                <c:pt idx="0">
                  <c:v>0.1</c:v>
                </c:pt>
                <c:pt idx="1">
                  <c:v>0.1</c:v>
                </c:pt>
                <c:pt idx="2">
                  <c:v>0.15</c:v>
                </c:pt>
                <c:pt idx="3">
                  <c:v>0.15</c:v>
                </c:pt>
                <c:pt idx="4">
                  <c:v>0.15</c:v>
                </c:pt>
                <c:pt idx="5">
                  <c:v>0.15</c:v>
                </c:pt>
                <c:pt idx="6">
                  <c:v>0.05</c:v>
                </c:pt>
                <c:pt idx="7">
                  <c:v>0.05</c:v>
                </c:pt>
                <c:pt idx="8">
                  <c:v>0.1</c:v>
                </c:pt>
              </c:numCache>
            </c:numRef>
          </c:val>
          <c:extLst>
            <c:ext xmlns:c16="http://schemas.microsoft.com/office/drawing/2014/chart" uri="{C3380CC4-5D6E-409C-BE32-E72D297353CC}">
              <c16:uniqueId val="{00000000-8AB3-45C2-AE32-EE6B368D83DD}"/>
            </c:ext>
          </c:extLst>
        </c:ser>
        <c:dLbls>
          <c:showLegendKey val="0"/>
          <c:showVal val="0"/>
          <c:showCatName val="0"/>
          <c:showSerName val="0"/>
          <c:showPercent val="0"/>
          <c:showBubbleSize val="0"/>
        </c:dLbls>
        <c:axId val="239710032"/>
        <c:axId val="239710992"/>
      </c:radarChart>
      <c:catAx>
        <c:axId val="23971003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710992"/>
        <c:crosses val="autoZero"/>
        <c:auto val="1"/>
        <c:lblAlgn val="ctr"/>
        <c:lblOffset val="100"/>
        <c:noMultiLvlLbl val="0"/>
      </c:catAx>
      <c:valAx>
        <c:axId val="23971099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1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Playstyle!$E$55</c:f>
              <c:strCache>
                <c:ptCount val="1"/>
                <c:pt idx="0">
                  <c:v>AM</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Playstyle!$D$56:$D$64</c:f>
              <c:strCache>
                <c:ptCount val="9"/>
                <c:pt idx="0">
                  <c:v>Technique</c:v>
                </c:pt>
                <c:pt idx="1">
                  <c:v>Decisions</c:v>
                </c:pt>
                <c:pt idx="2">
                  <c:v>Teamwork</c:v>
                </c:pt>
                <c:pt idx="3">
                  <c:v>Pace</c:v>
                </c:pt>
                <c:pt idx="4">
                  <c:v>Stamina</c:v>
                </c:pt>
                <c:pt idx="5">
                  <c:v>Passing</c:v>
                </c:pt>
                <c:pt idx="6">
                  <c:v>Movement</c:v>
                </c:pt>
                <c:pt idx="7">
                  <c:v>Creativity</c:v>
                </c:pt>
                <c:pt idx="8">
                  <c:v>Shooting</c:v>
                </c:pt>
              </c:strCache>
            </c:strRef>
          </c:cat>
          <c:val>
            <c:numRef>
              <c:f>Playstyle!$E$56:$E$64</c:f>
              <c:numCache>
                <c:formatCode>0%</c:formatCode>
                <c:ptCount val="9"/>
                <c:pt idx="0">
                  <c:v>0.1</c:v>
                </c:pt>
                <c:pt idx="1">
                  <c:v>0.15</c:v>
                </c:pt>
                <c:pt idx="2">
                  <c:v>0.1</c:v>
                </c:pt>
                <c:pt idx="3">
                  <c:v>0.1</c:v>
                </c:pt>
                <c:pt idx="4">
                  <c:v>0.05</c:v>
                </c:pt>
                <c:pt idx="5">
                  <c:v>0.15</c:v>
                </c:pt>
                <c:pt idx="6">
                  <c:v>0.15</c:v>
                </c:pt>
                <c:pt idx="7">
                  <c:v>0.15</c:v>
                </c:pt>
                <c:pt idx="8">
                  <c:v>0.05</c:v>
                </c:pt>
              </c:numCache>
            </c:numRef>
          </c:val>
          <c:extLst>
            <c:ext xmlns:c16="http://schemas.microsoft.com/office/drawing/2014/chart" uri="{C3380CC4-5D6E-409C-BE32-E72D297353CC}">
              <c16:uniqueId val="{00000000-6E8F-4EC1-A43D-0E2FB08DAC89}"/>
            </c:ext>
          </c:extLst>
        </c:ser>
        <c:dLbls>
          <c:showLegendKey val="0"/>
          <c:showVal val="0"/>
          <c:showCatName val="0"/>
          <c:showSerName val="0"/>
          <c:showPercent val="0"/>
          <c:showBubbleSize val="0"/>
        </c:dLbls>
        <c:axId val="239727792"/>
        <c:axId val="239728272"/>
      </c:radarChart>
      <c:catAx>
        <c:axId val="23972779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728272"/>
        <c:crosses val="autoZero"/>
        <c:auto val="1"/>
        <c:lblAlgn val="ctr"/>
        <c:lblOffset val="100"/>
        <c:noMultiLvlLbl val="0"/>
      </c:catAx>
      <c:valAx>
        <c:axId val="23972827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2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Playstyle!$H$55</c:f>
              <c:strCache>
                <c:ptCount val="1"/>
                <c:pt idx="0">
                  <c:v>WL</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Playstyle!$G$56:$G$63</c:f>
              <c:strCache>
                <c:ptCount val="8"/>
                <c:pt idx="0">
                  <c:v>Technique</c:v>
                </c:pt>
                <c:pt idx="1">
                  <c:v>Decisions</c:v>
                </c:pt>
                <c:pt idx="2">
                  <c:v>Teamwork</c:v>
                </c:pt>
                <c:pt idx="3">
                  <c:v>Pace</c:v>
                </c:pt>
                <c:pt idx="4">
                  <c:v>Stamina</c:v>
                </c:pt>
                <c:pt idx="5">
                  <c:v>Crossing</c:v>
                </c:pt>
                <c:pt idx="6">
                  <c:v>Movement</c:v>
                </c:pt>
                <c:pt idx="7">
                  <c:v>Dribbling</c:v>
                </c:pt>
              </c:strCache>
            </c:strRef>
          </c:cat>
          <c:val>
            <c:numRef>
              <c:f>Playstyle!$H$56:$H$63</c:f>
              <c:numCache>
                <c:formatCode>0%</c:formatCode>
                <c:ptCount val="8"/>
                <c:pt idx="0">
                  <c:v>0.1</c:v>
                </c:pt>
                <c:pt idx="1">
                  <c:v>0.1</c:v>
                </c:pt>
                <c:pt idx="2">
                  <c:v>0.05</c:v>
                </c:pt>
                <c:pt idx="3">
                  <c:v>0.2</c:v>
                </c:pt>
                <c:pt idx="4">
                  <c:v>0.1</c:v>
                </c:pt>
                <c:pt idx="5">
                  <c:v>0.2</c:v>
                </c:pt>
                <c:pt idx="6">
                  <c:v>0.15</c:v>
                </c:pt>
                <c:pt idx="7">
                  <c:v>0.1</c:v>
                </c:pt>
              </c:numCache>
            </c:numRef>
          </c:val>
          <c:extLst>
            <c:ext xmlns:c16="http://schemas.microsoft.com/office/drawing/2014/chart" uri="{C3380CC4-5D6E-409C-BE32-E72D297353CC}">
              <c16:uniqueId val="{00000000-9562-4E09-9620-493BD026CB43}"/>
            </c:ext>
          </c:extLst>
        </c:ser>
        <c:dLbls>
          <c:showLegendKey val="0"/>
          <c:showVal val="0"/>
          <c:showCatName val="0"/>
          <c:showSerName val="0"/>
          <c:showPercent val="0"/>
          <c:showBubbleSize val="0"/>
        </c:dLbls>
        <c:axId val="239716752"/>
        <c:axId val="239717232"/>
      </c:radarChart>
      <c:catAx>
        <c:axId val="23971675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717232"/>
        <c:crosses val="autoZero"/>
        <c:auto val="1"/>
        <c:lblAlgn val="ctr"/>
        <c:lblOffset val="100"/>
        <c:noMultiLvlLbl val="0"/>
      </c:catAx>
      <c:valAx>
        <c:axId val="23971723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1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tx>
            <c:strRef>
              <c:f>Playstyle!$L$55</c:f>
              <c:strCache>
                <c:ptCount val="1"/>
                <c:pt idx="0">
                  <c:v>ST</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strRef>
              <c:f>Playstyle!$K$56:$K$63</c:f>
              <c:strCache>
                <c:ptCount val="8"/>
                <c:pt idx="0">
                  <c:v>Aerial</c:v>
                </c:pt>
                <c:pt idx="1">
                  <c:v>Decisions</c:v>
                </c:pt>
                <c:pt idx="2">
                  <c:v>Teamwork</c:v>
                </c:pt>
                <c:pt idx="3">
                  <c:v>Pace</c:v>
                </c:pt>
                <c:pt idx="4">
                  <c:v>Aggression</c:v>
                </c:pt>
                <c:pt idx="5">
                  <c:v>Strength</c:v>
                </c:pt>
                <c:pt idx="6">
                  <c:v>Movement</c:v>
                </c:pt>
                <c:pt idx="7">
                  <c:v>Shooting</c:v>
                </c:pt>
              </c:strCache>
            </c:strRef>
          </c:cat>
          <c:val>
            <c:numRef>
              <c:f>Playstyle!$L$56:$L$63</c:f>
              <c:numCache>
                <c:formatCode>0%</c:formatCode>
                <c:ptCount val="8"/>
                <c:pt idx="0">
                  <c:v>0.25</c:v>
                </c:pt>
                <c:pt idx="1">
                  <c:v>0.05</c:v>
                </c:pt>
                <c:pt idx="2">
                  <c:v>0.05</c:v>
                </c:pt>
                <c:pt idx="3">
                  <c:v>0.1</c:v>
                </c:pt>
                <c:pt idx="4">
                  <c:v>0.05</c:v>
                </c:pt>
                <c:pt idx="5">
                  <c:v>0.2</c:v>
                </c:pt>
                <c:pt idx="6">
                  <c:v>0.15</c:v>
                </c:pt>
                <c:pt idx="7">
                  <c:v>0.15</c:v>
                </c:pt>
              </c:numCache>
            </c:numRef>
          </c:val>
          <c:extLst>
            <c:ext xmlns:c16="http://schemas.microsoft.com/office/drawing/2014/chart" uri="{C3380CC4-5D6E-409C-BE32-E72D297353CC}">
              <c16:uniqueId val="{00000000-31EA-4DAF-88DF-ABA34E4C567B}"/>
            </c:ext>
          </c:extLst>
        </c:ser>
        <c:dLbls>
          <c:showLegendKey val="0"/>
          <c:showVal val="0"/>
          <c:showCatName val="0"/>
          <c:showSerName val="0"/>
          <c:showPercent val="0"/>
          <c:showBubbleSize val="0"/>
        </c:dLbls>
        <c:axId val="239718672"/>
        <c:axId val="239715792"/>
      </c:radarChart>
      <c:catAx>
        <c:axId val="239718672"/>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9715792"/>
        <c:crosses val="autoZero"/>
        <c:auto val="1"/>
        <c:lblAlgn val="ctr"/>
        <c:lblOffset val="100"/>
        <c:noMultiLvlLbl val="0"/>
      </c:catAx>
      <c:valAx>
        <c:axId val="239715792"/>
        <c:scaling>
          <c:orientation val="minMax"/>
        </c:scaling>
        <c:delete val="1"/>
        <c:axPos val="l"/>
        <c:majorGridlines>
          <c:spPr>
            <a:ln w="9525" cap="flat" cmpd="sng" algn="ctr">
              <a:solidFill>
                <a:schemeClr val="lt1">
                  <a:alpha val="20000"/>
                </a:schemeClr>
              </a:solidFill>
              <a:round/>
            </a:ln>
            <a:effectLst/>
          </c:spPr>
        </c:majorGridlines>
        <c:numFmt formatCode="0%" sourceLinked="1"/>
        <c:majorTickMark val="none"/>
        <c:minorTickMark val="none"/>
        <c:tickLblPos val="nextTo"/>
        <c:crossAx val="23971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2324100</xdr:colOff>
      <xdr:row>0</xdr:row>
      <xdr:rowOff>114300</xdr:rowOff>
    </xdr:from>
    <xdr:to>
      <xdr:col>5</xdr:col>
      <xdr:colOff>167527</xdr:colOff>
      <xdr:row>0</xdr:row>
      <xdr:rowOff>723900</xdr:rowOff>
    </xdr:to>
    <xdr:pic>
      <xdr:nvPicPr>
        <xdr:cNvPr id="2" name="Picture 1">
          <a:extLst>
            <a:ext uri="{FF2B5EF4-FFF2-40B4-BE49-F238E27FC236}">
              <a16:creationId xmlns:a16="http://schemas.microsoft.com/office/drawing/2014/main" id="{AB4F617B-22D2-4801-5894-2DBCA36222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4100" y="114300"/>
          <a:ext cx="6096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16710</xdr:colOff>
      <xdr:row>6</xdr:row>
      <xdr:rowOff>175467</xdr:rowOff>
    </xdr:from>
    <xdr:to>
      <xdr:col>3</xdr:col>
      <xdr:colOff>674534</xdr:colOff>
      <xdr:row>22</xdr:row>
      <xdr:rowOff>191330</xdr:rowOff>
    </xdr:to>
    <xdr:graphicFrame macro="">
      <xdr:nvGraphicFramePr>
        <xdr:cNvPr id="3" name="Chart 2">
          <a:extLst>
            <a:ext uri="{FF2B5EF4-FFF2-40B4-BE49-F238E27FC236}">
              <a16:creationId xmlns:a16="http://schemas.microsoft.com/office/drawing/2014/main" id="{81725657-63B6-0637-CB94-B3320B72F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667703</xdr:colOff>
      <xdr:row>6</xdr:row>
      <xdr:rowOff>175087</xdr:rowOff>
    </xdr:from>
    <xdr:to>
      <xdr:col>7</xdr:col>
      <xdr:colOff>619644</xdr:colOff>
      <xdr:row>22</xdr:row>
      <xdr:rowOff>194012</xdr:rowOff>
    </xdr:to>
    <xdr:graphicFrame macro="">
      <xdr:nvGraphicFramePr>
        <xdr:cNvPr id="4" name="Chart 3">
          <a:extLst>
            <a:ext uri="{FF2B5EF4-FFF2-40B4-BE49-F238E27FC236}">
              <a16:creationId xmlns:a16="http://schemas.microsoft.com/office/drawing/2014/main" id="{BCA21373-DC81-1798-77FB-4CBB8EDD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619702</xdr:colOff>
      <xdr:row>6</xdr:row>
      <xdr:rowOff>172251</xdr:rowOff>
    </xdr:from>
    <xdr:to>
      <xdr:col>12</xdr:col>
      <xdr:colOff>414682</xdr:colOff>
      <xdr:row>22</xdr:row>
      <xdr:rowOff>188114</xdr:rowOff>
    </xdr:to>
    <xdr:graphicFrame macro="">
      <xdr:nvGraphicFramePr>
        <xdr:cNvPr id="5" name="Chart 4">
          <a:extLst>
            <a:ext uri="{FF2B5EF4-FFF2-40B4-BE49-F238E27FC236}">
              <a16:creationId xmlns:a16="http://schemas.microsoft.com/office/drawing/2014/main" id="{6DE7387E-B54E-92FD-8EA8-BA074EA70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414682</xdr:colOff>
      <xdr:row>6</xdr:row>
      <xdr:rowOff>173767</xdr:rowOff>
    </xdr:from>
    <xdr:to>
      <xdr:col>15</xdr:col>
      <xdr:colOff>467739</xdr:colOff>
      <xdr:row>22</xdr:row>
      <xdr:rowOff>188113</xdr:rowOff>
    </xdr:to>
    <xdr:graphicFrame macro="">
      <xdr:nvGraphicFramePr>
        <xdr:cNvPr id="6" name="Chart 5">
          <a:extLst>
            <a:ext uri="{FF2B5EF4-FFF2-40B4-BE49-F238E27FC236}">
              <a16:creationId xmlns:a16="http://schemas.microsoft.com/office/drawing/2014/main" id="{74324857-443A-82D0-C925-1D198CD68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16737</xdr:colOff>
      <xdr:row>22</xdr:row>
      <xdr:rowOff>215232</xdr:rowOff>
    </xdr:from>
    <xdr:to>
      <xdr:col>3</xdr:col>
      <xdr:colOff>674561</xdr:colOff>
      <xdr:row>39</xdr:row>
      <xdr:rowOff>72044</xdr:rowOff>
    </xdr:to>
    <xdr:graphicFrame macro="">
      <xdr:nvGraphicFramePr>
        <xdr:cNvPr id="7" name="Chart 6">
          <a:extLst>
            <a:ext uri="{FF2B5EF4-FFF2-40B4-BE49-F238E27FC236}">
              <a16:creationId xmlns:a16="http://schemas.microsoft.com/office/drawing/2014/main" id="{EBC45ED0-1E0F-85B0-16BA-9EF22BFA0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3</xdr:col>
      <xdr:colOff>668361</xdr:colOff>
      <xdr:row>22</xdr:row>
      <xdr:rowOff>215233</xdr:rowOff>
    </xdr:from>
    <xdr:to>
      <xdr:col>7</xdr:col>
      <xdr:colOff>618775</xdr:colOff>
      <xdr:row>39</xdr:row>
      <xdr:rowOff>72045</xdr:rowOff>
    </xdr:to>
    <xdr:graphicFrame macro="">
      <xdr:nvGraphicFramePr>
        <xdr:cNvPr id="8" name="Chart 7">
          <a:extLst>
            <a:ext uri="{FF2B5EF4-FFF2-40B4-BE49-F238E27FC236}">
              <a16:creationId xmlns:a16="http://schemas.microsoft.com/office/drawing/2014/main" id="{074C9568-62DF-0646-660C-4908FD54C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7</xdr:col>
      <xdr:colOff>612121</xdr:colOff>
      <xdr:row>22</xdr:row>
      <xdr:rowOff>190056</xdr:rowOff>
    </xdr:from>
    <xdr:to>
      <xdr:col>12</xdr:col>
      <xdr:colOff>407557</xdr:colOff>
      <xdr:row>39</xdr:row>
      <xdr:rowOff>65430</xdr:rowOff>
    </xdr:to>
    <xdr:graphicFrame macro="">
      <xdr:nvGraphicFramePr>
        <xdr:cNvPr id="9" name="Chart 8">
          <a:extLst>
            <a:ext uri="{FF2B5EF4-FFF2-40B4-BE49-F238E27FC236}">
              <a16:creationId xmlns:a16="http://schemas.microsoft.com/office/drawing/2014/main" id="{B933D364-11E6-9338-8D1A-BE5C3D011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12</xdr:col>
      <xdr:colOff>421201</xdr:colOff>
      <xdr:row>22</xdr:row>
      <xdr:rowOff>188021</xdr:rowOff>
    </xdr:from>
    <xdr:to>
      <xdr:col>15</xdr:col>
      <xdr:colOff>465017</xdr:colOff>
      <xdr:row>39</xdr:row>
      <xdr:rowOff>54967</xdr:rowOff>
    </xdr:to>
    <xdr:graphicFrame macro="">
      <xdr:nvGraphicFramePr>
        <xdr:cNvPr id="10" name="Chart 9">
          <a:extLst>
            <a:ext uri="{FF2B5EF4-FFF2-40B4-BE49-F238E27FC236}">
              <a16:creationId xmlns:a16="http://schemas.microsoft.com/office/drawing/2014/main" id="{938DA3F3-8543-7B18-1A55-969CB80E6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485588</xdr:colOff>
      <xdr:row>1</xdr:row>
      <xdr:rowOff>18676</xdr:rowOff>
    </xdr:from>
    <xdr:to>
      <xdr:col>6</xdr:col>
      <xdr:colOff>952500</xdr:colOff>
      <xdr:row>6</xdr:row>
      <xdr:rowOff>0</xdr:rowOff>
    </xdr:to>
    <xdr:pic>
      <xdr:nvPicPr>
        <xdr:cNvPr id="2" name="Picture 1">
          <a:extLst>
            <a:ext uri="{FF2B5EF4-FFF2-40B4-BE49-F238E27FC236}">
              <a16:creationId xmlns:a16="http://schemas.microsoft.com/office/drawing/2014/main" id="{B2ECA257-1138-4BF2-BA18-DC1C886B45B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995147" y="205441"/>
          <a:ext cx="1176618" cy="1176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11</xdr:row>
      <xdr:rowOff>0</xdr:rowOff>
    </xdr:from>
    <xdr:to>
      <xdr:col>14</xdr:col>
      <xdr:colOff>304800</xdr:colOff>
      <xdr:row>12</xdr:row>
      <xdr:rowOff>123826</xdr:rowOff>
    </xdr:to>
    <xdr:sp macro="" textlink="">
      <xdr:nvSpPr>
        <xdr:cNvPr id="2049" name="AutoShape 1">
          <a:extLst>
            <a:ext uri="{FF2B5EF4-FFF2-40B4-BE49-F238E27FC236}">
              <a16:creationId xmlns:a16="http://schemas.microsoft.com/office/drawing/2014/main" id="{1C51ED83-3D0B-35A3-1809-9FE5AEB5F56F}"/>
            </a:ext>
          </a:extLst>
        </xdr:cNvPr>
        <xdr:cNvSpPr>
          <a:spLocks noChangeAspect="1" noChangeArrowheads="1"/>
        </xdr:cNvSpPr>
      </xdr:nvSpPr>
      <xdr:spPr bwMode="auto">
        <a:xfrm>
          <a:off x="10287000" y="325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12</xdr:row>
      <xdr:rowOff>123826</xdr:rowOff>
    </xdr:to>
    <xdr:sp macro="" textlink="">
      <xdr:nvSpPr>
        <xdr:cNvPr id="2050" name="AutoShape 2">
          <a:extLst>
            <a:ext uri="{FF2B5EF4-FFF2-40B4-BE49-F238E27FC236}">
              <a16:creationId xmlns:a16="http://schemas.microsoft.com/office/drawing/2014/main" id="{9D34F5D2-9A6B-8454-224F-32B8C0D02B88}"/>
            </a:ext>
          </a:extLst>
        </xdr:cNvPr>
        <xdr:cNvSpPr>
          <a:spLocks noChangeAspect="1" noChangeArrowheads="1"/>
        </xdr:cNvSpPr>
      </xdr:nvSpPr>
      <xdr:spPr bwMode="auto">
        <a:xfrm>
          <a:off x="10205357" y="3339935"/>
          <a:ext cx="304800" cy="30937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326627</xdr:colOff>
      <xdr:row>0</xdr:row>
      <xdr:rowOff>57150</xdr:rowOff>
    </xdr:from>
    <xdr:to>
      <xdr:col>4</xdr:col>
      <xdr:colOff>275033</xdr:colOff>
      <xdr:row>3</xdr:row>
      <xdr:rowOff>139304</xdr:rowOff>
    </xdr:to>
    <xdr:pic>
      <xdr:nvPicPr>
        <xdr:cNvPr id="4" name="Picture 3">
          <a:extLst>
            <a:ext uri="{FF2B5EF4-FFF2-40B4-BE49-F238E27FC236}">
              <a16:creationId xmlns:a16="http://schemas.microsoft.com/office/drawing/2014/main" id="{EBD23200-C589-44EB-9965-3244A9EFD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36827" y="57150"/>
          <a:ext cx="634206" cy="625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EBF8-231F-46E6-AEF7-007E1EF136F8}">
  <sheetPr codeName="Sheet1"/>
  <dimension ref="E1:I37"/>
  <sheetViews>
    <sheetView zoomScale="56" zoomScaleNormal="120" workbookViewId="0">
      <selection activeCell="H4" sqref="H4"/>
    </sheetView>
  </sheetViews>
  <sheetFormatPr defaultColWidth="9" defaultRowHeight="15" x14ac:dyDescent="0.25"/>
  <cols>
    <col min="1" max="1" width="20.5" style="7" customWidth="1"/>
    <col min="2" max="3" width="20.625" style="7" customWidth="1"/>
    <col min="4" max="4" width="20.5" style="7" customWidth="1"/>
    <col min="5" max="5" width="36.125" style="7" bestFit="1" customWidth="1"/>
    <col min="6" max="6" width="67.375" style="7" bestFit="1" customWidth="1"/>
    <col min="7" max="7" width="27.5" style="7" bestFit="1" customWidth="1"/>
    <col min="8" max="9" width="67" style="7" bestFit="1" customWidth="1"/>
    <col min="10" max="11" width="9" style="7"/>
    <col min="12" max="12" width="20.625" style="7" customWidth="1"/>
    <col min="13" max="16384" width="9" style="7"/>
  </cols>
  <sheetData>
    <row r="1" spans="5:9" ht="64.5" thickBot="1" x14ac:dyDescent="1.05">
      <c r="E1" s="114" t="s">
        <v>202</v>
      </c>
      <c r="F1" s="115"/>
      <c r="G1" s="115"/>
      <c r="H1" s="116"/>
    </row>
    <row r="2" spans="5:9" ht="21" x14ac:dyDescent="0.35">
      <c r="E2" s="41" t="s">
        <v>14</v>
      </c>
      <c r="F2" s="41" t="s">
        <v>478</v>
      </c>
      <c r="G2" s="41" t="s">
        <v>23</v>
      </c>
      <c r="H2" s="42" t="s">
        <v>481</v>
      </c>
    </row>
    <row r="3" spans="5:9" ht="21" x14ac:dyDescent="0.35">
      <c r="E3" s="26" t="s">
        <v>15</v>
      </c>
      <c r="F3" s="26" t="s">
        <v>487</v>
      </c>
      <c r="G3" s="26" t="s">
        <v>24</v>
      </c>
      <c r="H3" s="26" t="s">
        <v>644</v>
      </c>
    </row>
    <row r="4" spans="5:9" ht="21" x14ac:dyDescent="0.35">
      <c r="E4" s="26" t="s">
        <v>16</v>
      </c>
      <c r="F4" s="26" t="s">
        <v>479</v>
      </c>
      <c r="G4" s="26" t="s">
        <v>25</v>
      </c>
      <c r="H4" s="26" t="s">
        <v>482</v>
      </c>
    </row>
    <row r="5" spans="5:9" ht="21" x14ac:dyDescent="0.35">
      <c r="E5" s="26" t="s">
        <v>17</v>
      </c>
      <c r="F5" s="36" t="s">
        <v>480</v>
      </c>
      <c r="G5" s="26" t="s">
        <v>26</v>
      </c>
      <c r="H5" s="26" t="s">
        <v>483</v>
      </c>
    </row>
    <row r="6" spans="5:9" ht="21" x14ac:dyDescent="0.35">
      <c r="E6" s="26" t="s">
        <v>18</v>
      </c>
      <c r="F6" s="37">
        <v>0.5</v>
      </c>
      <c r="G6" s="26" t="s">
        <v>27</v>
      </c>
      <c r="H6" s="26" t="s">
        <v>485</v>
      </c>
    </row>
    <row r="7" spans="5:9" ht="21" x14ac:dyDescent="0.35">
      <c r="E7" s="26" t="s">
        <v>19</v>
      </c>
      <c r="F7" s="26" t="s">
        <v>21</v>
      </c>
      <c r="G7" s="26" t="s">
        <v>28</v>
      </c>
      <c r="H7" s="26" t="s">
        <v>484</v>
      </c>
    </row>
    <row r="8" spans="5:9" ht="21" x14ac:dyDescent="0.35">
      <c r="E8" s="26" t="s">
        <v>20</v>
      </c>
      <c r="F8" s="26" t="s">
        <v>22</v>
      </c>
      <c r="G8" s="26"/>
      <c r="H8" s="26"/>
    </row>
    <row r="9" spans="5:9" ht="21" x14ac:dyDescent="0.35">
      <c r="E9" s="26" t="s">
        <v>158</v>
      </c>
      <c r="F9" s="26" t="s">
        <v>494</v>
      </c>
      <c r="G9" s="26"/>
      <c r="H9" s="26"/>
    </row>
    <row r="10" spans="5:9" ht="21" x14ac:dyDescent="0.35">
      <c r="E10" s="26" t="s">
        <v>154</v>
      </c>
      <c r="F10" s="26" t="s">
        <v>153</v>
      </c>
      <c r="G10" s="26"/>
      <c r="H10" s="26"/>
    </row>
    <row r="11" spans="5:9" ht="21" x14ac:dyDescent="0.35">
      <c r="E11" s="26" t="s">
        <v>419</v>
      </c>
      <c r="F11" s="26" t="s">
        <v>486</v>
      </c>
      <c r="G11" s="26"/>
      <c r="H11" s="26"/>
    </row>
    <row r="15" spans="5:9" ht="24" x14ac:dyDescent="0.4">
      <c r="E15" s="117" t="s">
        <v>503</v>
      </c>
      <c r="F15" s="118"/>
      <c r="H15" s="117" t="s">
        <v>502</v>
      </c>
      <c r="I15" s="118"/>
    </row>
    <row r="16" spans="5:9" ht="24" x14ac:dyDescent="0.4">
      <c r="E16" s="29" t="s">
        <v>29</v>
      </c>
      <c r="F16" s="35" t="s">
        <v>30</v>
      </c>
      <c r="H16" s="82" t="s">
        <v>29</v>
      </c>
      <c r="I16" s="35" t="s">
        <v>30</v>
      </c>
    </row>
    <row r="17" spans="5:9" ht="18.75" customHeight="1" x14ac:dyDescent="0.3">
      <c r="E17" s="30" t="s">
        <v>31</v>
      </c>
      <c r="F17" s="32" t="s">
        <v>32</v>
      </c>
      <c r="H17" s="32" t="s">
        <v>31</v>
      </c>
      <c r="I17" s="32" t="s">
        <v>511</v>
      </c>
    </row>
    <row r="18" spans="5:9" ht="18.75" customHeight="1" x14ac:dyDescent="0.3">
      <c r="E18" s="31"/>
      <c r="F18" s="32" t="s">
        <v>33</v>
      </c>
      <c r="H18" s="32" t="s">
        <v>504</v>
      </c>
      <c r="I18" s="32" t="s">
        <v>34</v>
      </c>
    </row>
    <row r="19" spans="5:9" ht="18.75" customHeight="1" x14ac:dyDescent="0.3">
      <c r="E19" s="31"/>
      <c r="F19" s="32" t="s">
        <v>34</v>
      </c>
      <c r="H19" s="32" t="s">
        <v>505</v>
      </c>
      <c r="I19" s="32" t="s">
        <v>35</v>
      </c>
    </row>
    <row r="20" spans="5:9" ht="18.75" customHeight="1" x14ac:dyDescent="0.3">
      <c r="E20" s="31"/>
      <c r="F20" s="30" t="s">
        <v>35</v>
      </c>
      <c r="H20" s="32" t="s">
        <v>506</v>
      </c>
      <c r="I20" s="32" t="s">
        <v>36</v>
      </c>
    </row>
    <row r="21" spans="5:9" ht="18.75" customHeight="1" x14ac:dyDescent="0.3">
      <c r="E21" s="33"/>
      <c r="F21" s="30" t="s">
        <v>36</v>
      </c>
      <c r="H21" s="32" t="s">
        <v>507</v>
      </c>
      <c r="I21" s="30" t="s">
        <v>38</v>
      </c>
    </row>
    <row r="22" spans="5:9" ht="18.75" customHeight="1" x14ac:dyDescent="0.3">
      <c r="E22" s="33"/>
      <c r="F22" s="30" t="s">
        <v>37</v>
      </c>
      <c r="H22" s="32" t="s">
        <v>508</v>
      </c>
      <c r="I22" s="30" t="s">
        <v>512</v>
      </c>
    </row>
    <row r="23" spans="5:9" ht="18.75" customHeight="1" x14ac:dyDescent="0.3">
      <c r="E23" s="33"/>
      <c r="F23" s="30" t="s">
        <v>38</v>
      </c>
      <c r="H23" s="32" t="s">
        <v>509</v>
      </c>
      <c r="I23" s="30" t="s">
        <v>39</v>
      </c>
    </row>
    <row r="24" spans="5:9" ht="18.75" customHeight="1" x14ac:dyDescent="0.3">
      <c r="E24" s="33"/>
      <c r="F24" s="30" t="s">
        <v>39</v>
      </c>
      <c r="H24" s="33"/>
      <c r="I24" s="32" t="s">
        <v>40</v>
      </c>
    </row>
    <row r="25" spans="5:9" ht="18.75" customHeight="1" x14ac:dyDescent="0.3">
      <c r="E25" s="34"/>
      <c r="F25" s="32" t="s">
        <v>40</v>
      </c>
      <c r="H25" s="94"/>
      <c r="I25" s="32" t="s">
        <v>510</v>
      </c>
    </row>
    <row r="26" spans="5:9" ht="18.75" x14ac:dyDescent="0.3">
      <c r="H26" s="81"/>
    </row>
    <row r="27" spans="5:9" ht="18.75" x14ac:dyDescent="0.3">
      <c r="H27" s="81"/>
    </row>
    <row r="28" spans="5:9" ht="18.75" x14ac:dyDescent="0.3">
      <c r="H28" s="81"/>
      <c r="I28" s="81"/>
    </row>
    <row r="30" spans="5:9" ht="24" x14ac:dyDescent="0.25">
      <c r="E30" s="102" t="s">
        <v>320</v>
      </c>
      <c r="F30" s="103"/>
      <c r="G30" s="103"/>
      <c r="H30" s="103"/>
      <c r="I30" s="104"/>
    </row>
    <row r="31" spans="5:9" ht="15" customHeight="1" x14ac:dyDescent="0.25">
      <c r="E31" s="105" t="s">
        <v>477</v>
      </c>
      <c r="F31" s="106"/>
      <c r="G31" s="106"/>
      <c r="H31" s="106"/>
      <c r="I31" s="107"/>
    </row>
    <row r="32" spans="5:9" x14ac:dyDescent="0.25">
      <c r="E32" s="108"/>
      <c r="F32" s="109"/>
      <c r="G32" s="109"/>
      <c r="H32" s="109"/>
      <c r="I32" s="110"/>
    </row>
    <row r="33" spans="5:9" x14ac:dyDescent="0.25">
      <c r="E33" s="108"/>
      <c r="F33" s="109"/>
      <c r="G33" s="109"/>
      <c r="H33" s="109"/>
      <c r="I33" s="110"/>
    </row>
    <row r="34" spans="5:9" x14ac:dyDescent="0.25">
      <c r="E34" s="108"/>
      <c r="F34" s="109"/>
      <c r="G34" s="109"/>
      <c r="H34" s="109"/>
      <c r="I34" s="110"/>
    </row>
    <row r="35" spans="5:9" ht="15" customHeight="1" x14ac:dyDescent="0.25">
      <c r="E35" s="108"/>
      <c r="F35" s="109"/>
      <c r="G35" s="109"/>
      <c r="H35" s="109"/>
      <c r="I35" s="110"/>
    </row>
    <row r="36" spans="5:9" x14ac:dyDescent="0.25">
      <c r="E36" s="108"/>
      <c r="F36" s="109"/>
      <c r="G36" s="109"/>
      <c r="H36" s="109"/>
      <c r="I36" s="110"/>
    </row>
    <row r="37" spans="5:9" x14ac:dyDescent="0.25">
      <c r="E37" s="111"/>
      <c r="F37" s="112"/>
      <c r="G37" s="112"/>
      <c r="H37" s="112"/>
      <c r="I37" s="113"/>
    </row>
  </sheetData>
  <mergeCells count="5">
    <mergeCell ref="E30:I30"/>
    <mergeCell ref="E31:I37"/>
    <mergeCell ref="E1:H1"/>
    <mergeCell ref="E15:F15"/>
    <mergeCell ref="H15:I15"/>
  </mergeCells>
  <phoneticPr fontId="21" type="noConversion"/>
  <conditionalFormatting sqref="E1">
    <cfRule type="containsText" dxfId="35" priority="1" operator="containsText" text="Deportivo">
      <formula>NOT(ISERROR(SEARCH("Deportivo",E1)))</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7E842-0788-4ECF-ADE1-DAF92FA48791}">
  <dimension ref="A1:N4"/>
  <sheetViews>
    <sheetView topLeftCell="A4" workbookViewId="0">
      <selection activeCell="M1" sqref="M1:N1"/>
    </sheetView>
  </sheetViews>
  <sheetFormatPr defaultRowHeight="15" x14ac:dyDescent="0.25"/>
  <cols>
    <col min="1" max="1" width="18.375" style="7" bestFit="1" customWidth="1"/>
    <col min="2" max="2" width="26.875" style="7" bestFit="1" customWidth="1"/>
    <col min="3" max="3" width="22.5" style="7" bestFit="1" customWidth="1"/>
    <col min="4" max="4" width="14.75" style="7" bestFit="1" customWidth="1"/>
    <col min="5" max="5" width="26.75" style="7" bestFit="1" customWidth="1"/>
    <col min="6" max="6" width="13.75" style="7" bestFit="1" customWidth="1"/>
    <col min="7" max="7" width="22.625" style="7" bestFit="1" customWidth="1"/>
    <col min="8" max="8" width="5.5" style="7" bestFit="1" customWidth="1"/>
    <col min="9" max="9" width="15.375" style="7" bestFit="1" customWidth="1"/>
    <col min="10" max="10" width="16.125" style="7" bestFit="1" customWidth="1"/>
    <col min="11" max="11" width="15.375" style="7" bestFit="1" customWidth="1"/>
    <col min="12" max="12" width="3.75" style="7" bestFit="1" customWidth="1"/>
    <col min="13" max="13" width="9" style="7"/>
    <col min="14" max="14" width="16.125" style="7" bestFit="1" customWidth="1"/>
    <col min="15" max="16384" width="9" style="7"/>
  </cols>
  <sheetData>
    <row r="1" spans="1:14" x14ac:dyDescent="0.25">
      <c r="A1" s="101" t="s">
        <v>634</v>
      </c>
      <c r="B1" s="101" t="s">
        <v>2</v>
      </c>
      <c r="C1" s="43" t="s">
        <v>636</v>
      </c>
      <c r="D1" s="101" t="s">
        <v>2</v>
      </c>
      <c r="E1" s="43" t="s">
        <v>638</v>
      </c>
      <c r="F1" s="101" t="s">
        <v>2</v>
      </c>
      <c r="G1" s="43" t="s">
        <v>640</v>
      </c>
      <c r="H1" s="101" t="s">
        <v>2</v>
      </c>
      <c r="I1" s="43" t="s">
        <v>675</v>
      </c>
      <c r="J1" s="97" t="s">
        <v>676</v>
      </c>
      <c r="K1" s="43" t="s">
        <v>588</v>
      </c>
      <c r="L1" s="97" t="s">
        <v>75</v>
      </c>
      <c r="M1" s="43" t="s">
        <v>585</v>
      </c>
      <c r="N1" s="97" t="s">
        <v>643</v>
      </c>
    </row>
    <row r="2" spans="1:14" x14ac:dyDescent="0.25">
      <c r="A2" s="43" t="s">
        <v>23</v>
      </c>
      <c r="B2" s="95">
        <v>14500000</v>
      </c>
      <c r="C2" s="43" t="s">
        <v>24</v>
      </c>
      <c r="D2" s="95">
        <v>12244000</v>
      </c>
      <c r="E2" s="43" t="s">
        <v>559</v>
      </c>
      <c r="F2" s="95">
        <f>B2-D2</f>
        <v>2256000</v>
      </c>
      <c r="G2" s="43" t="s">
        <v>641</v>
      </c>
      <c r="H2" s="96">
        <f>D2/B2</f>
        <v>0.84441379310344833</v>
      </c>
    </row>
    <row r="3" spans="1:14" x14ac:dyDescent="0.25">
      <c r="A3" s="43" t="s">
        <v>635</v>
      </c>
      <c r="B3" s="95">
        <v>513000</v>
      </c>
      <c r="C3" s="43" t="s">
        <v>637</v>
      </c>
      <c r="D3" s="95">
        <v>556000</v>
      </c>
      <c r="E3" s="43" t="s">
        <v>639</v>
      </c>
      <c r="F3" s="95">
        <f>B3-D3</f>
        <v>-43000</v>
      </c>
      <c r="G3" s="43" t="s">
        <v>642</v>
      </c>
      <c r="H3" s="96">
        <f>D3/B3</f>
        <v>1.0838206627680311</v>
      </c>
    </row>
    <row r="4" spans="1:14" x14ac:dyDescent="0.25">
      <c r="A4" s="43" t="s">
        <v>554</v>
      </c>
      <c r="B4" s="95">
        <v>46000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7C6A1-AAF1-4002-AC6B-48CF90556EE9}">
  <sheetPr codeName="Sheet2"/>
  <dimension ref="A1:E39"/>
  <sheetViews>
    <sheetView topLeftCell="A18" workbookViewId="0">
      <selection activeCell="K8" sqref="K8"/>
    </sheetView>
  </sheetViews>
  <sheetFormatPr defaultColWidth="9" defaultRowHeight="21" x14ac:dyDescent="0.35"/>
  <cols>
    <col min="1" max="1" width="14" style="87" bestFit="1" customWidth="1"/>
    <col min="2" max="2" width="23.25" style="87" bestFit="1" customWidth="1"/>
    <col min="3" max="3" width="9" style="88"/>
    <col min="4" max="16384" width="9" style="87"/>
  </cols>
  <sheetData>
    <row r="1" spans="1:5" ht="21" customHeight="1" x14ac:dyDescent="0.35">
      <c r="A1" s="71" t="s">
        <v>91</v>
      </c>
      <c r="B1" s="70" t="s">
        <v>601</v>
      </c>
      <c r="C1" s="86" t="s">
        <v>602</v>
      </c>
      <c r="D1" s="71" t="s">
        <v>603</v>
      </c>
      <c r="E1" s="71" t="s">
        <v>574</v>
      </c>
    </row>
    <row r="2" spans="1:5" ht="21" customHeight="1" x14ac:dyDescent="0.35">
      <c r="A2" s="59">
        <v>45885</v>
      </c>
      <c r="B2" s="70" t="s">
        <v>236</v>
      </c>
      <c r="C2" s="86" t="s">
        <v>604</v>
      </c>
      <c r="D2" s="71" t="s">
        <v>605</v>
      </c>
      <c r="E2" s="71">
        <v>0</v>
      </c>
    </row>
    <row r="3" spans="1:5" ht="21" customHeight="1" x14ac:dyDescent="0.35">
      <c r="A3" s="59">
        <v>45892</v>
      </c>
      <c r="B3" s="70" t="s">
        <v>262</v>
      </c>
      <c r="C3" s="86" t="s">
        <v>606</v>
      </c>
      <c r="D3" s="71" t="s">
        <v>605</v>
      </c>
      <c r="E3" s="71">
        <v>0</v>
      </c>
    </row>
    <row r="4" spans="1:5" ht="21.75" customHeight="1" x14ac:dyDescent="0.35">
      <c r="A4" s="59">
        <v>45899</v>
      </c>
      <c r="B4" s="70" t="s">
        <v>277</v>
      </c>
      <c r="C4" s="86" t="s">
        <v>606</v>
      </c>
      <c r="D4" s="71" t="s">
        <v>605</v>
      </c>
      <c r="E4" s="71">
        <v>0</v>
      </c>
    </row>
    <row r="5" spans="1:5" x14ac:dyDescent="0.35">
      <c r="A5" s="59">
        <v>45919</v>
      </c>
      <c r="B5" s="70" t="s">
        <v>287</v>
      </c>
      <c r="C5" s="86" t="s">
        <v>607</v>
      </c>
      <c r="D5" s="71" t="s">
        <v>605</v>
      </c>
      <c r="E5" s="71">
        <v>0</v>
      </c>
    </row>
    <row r="6" spans="1:5" x14ac:dyDescent="0.35">
      <c r="A6" s="59">
        <v>45914</v>
      </c>
      <c r="B6" s="70" t="s">
        <v>608</v>
      </c>
      <c r="C6" s="86" t="s">
        <v>609</v>
      </c>
      <c r="D6" s="71" t="s">
        <v>610</v>
      </c>
      <c r="E6" s="71">
        <v>3</v>
      </c>
    </row>
    <row r="7" spans="1:5" x14ac:dyDescent="0.35">
      <c r="A7" s="59">
        <v>45927</v>
      </c>
      <c r="B7" s="70" t="s">
        <v>314</v>
      </c>
      <c r="C7" s="86" t="s">
        <v>611</v>
      </c>
      <c r="D7" s="71" t="s">
        <v>622</v>
      </c>
      <c r="E7" s="71">
        <v>4</v>
      </c>
    </row>
    <row r="8" spans="1:5" x14ac:dyDescent="0.35">
      <c r="A8" s="59">
        <v>45935</v>
      </c>
      <c r="B8" s="70" t="s">
        <v>323</v>
      </c>
      <c r="C8" s="86" t="s">
        <v>609</v>
      </c>
      <c r="D8" s="71" t="s">
        <v>610</v>
      </c>
      <c r="E8" s="71">
        <v>7</v>
      </c>
    </row>
    <row r="9" spans="1:5" x14ac:dyDescent="0.35">
      <c r="A9" s="59">
        <v>45947</v>
      </c>
      <c r="B9" s="70" t="s">
        <v>331</v>
      </c>
      <c r="C9" s="86" t="s">
        <v>612</v>
      </c>
      <c r="D9" s="71" t="s">
        <v>610</v>
      </c>
      <c r="E9" s="71">
        <v>10</v>
      </c>
    </row>
    <row r="10" spans="1:5" x14ac:dyDescent="0.35">
      <c r="A10" s="59">
        <v>45955</v>
      </c>
      <c r="B10" s="70" t="s">
        <v>340</v>
      </c>
      <c r="C10" s="86" t="s">
        <v>612</v>
      </c>
      <c r="D10" s="71" t="s">
        <v>610</v>
      </c>
      <c r="E10" s="71">
        <v>13</v>
      </c>
    </row>
    <row r="11" spans="1:5" x14ac:dyDescent="0.35">
      <c r="A11" s="59">
        <v>45962</v>
      </c>
      <c r="B11" s="70" t="s">
        <v>412</v>
      </c>
      <c r="C11" s="86" t="s">
        <v>613</v>
      </c>
      <c r="D11" s="71" t="s">
        <v>622</v>
      </c>
      <c r="E11" s="71">
        <v>14</v>
      </c>
    </row>
    <row r="12" spans="1:5" x14ac:dyDescent="0.35">
      <c r="A12" s="59">
        <v>45970</v>
      </c>
      <c r="B12" s="70" t="s">
        <v>353</v>
      </c>
      <c r="C12" s="86" t="s">
        <v>614</v>
      </c>
      <c r="D12" s="71" t="s">
        <v>622</v>
      </c>
      <c r="E12" s="71">
        <v>15</v>
      </c>
    </row>
    <row r="13" spans="1:5" x14ac:dyDescent="0.35">
      <c r="A13" s="59">
        <v>45983</v>
      </c>
      <c r="B13" s="70" t="s">
        <v>366</v>
      </c>
      <c r="C13" s="86" t="s">
        <v>609</v>
      </c>
      <c r="D13" s="71" t="s">
        <v>610</v>
      </c>
      <c r="E13" s="71">
        <v>18</v>
      </c>
    </row>
    <row r="14" spans="1:5" x14ac:dyDescent="0.35">
      <c r="A14" s="59">
        <v>45990</v>
      </c>
      <c r="B14" s="70" t="s">
        <v>373</v>
      </c>
      <c r="C14" s="86" t="s">
        <v>615</v>
      </c>
      <c r="D14" s="71" t="s">
        <v>610</v>
      </c>
      <c r="E14" s="71">
        <v>21</v>
      </c>
    </row>
    <row r="15" spans="1:5" x14ac:dyDescent="0.35">
      <c r="A15" s="59">
        <v>45997</v>
      </c>
      <c r="B15" s="70" t="s">
        <v>391</v>
      </c>
      <c r="C15" s="86" t="s">
        <v>612</v>
      </c>
      <c r="D15" s="71" t="s">
        <v>610</v>
      </c>
      <c r="E15" s="71">
        <v>24</v>
      </c>
    </row>
    <row r="16" spans="1:5" x14ac:dyDescent="0.35">
      <c r="A16" s="59">
        <v>46004</v>
      </c>
      <c r="B16" s="70" t="s">
        <v>397</v>
      </c>
      <c r="C16" s="86" t="s">
        <v>616</v>
      </c>
      <c r="D16" s="71" t="s">
        <v>622</v>
      </c>
      <c r="E16" s="71">
        <v>25</v>
      </c>
    </row>
    <row r="17" spans="1:5" x14ac:dyDescent="0.35">
      <c r="A17" s="59">
        <v>46008</v>
      </c>
      <c r="B17" s="70" t="s">
        <v>411</v>
      </c>
      <c r="C17" s="86" t="s">
        <v>615</v>
      </c>
      <c r="D17" s="71" t="s">
        <v>610</v>
      </c>
      <c r="E17" s="71">
        <v>28</v>
      </c>
    </row>
    <row r="18" spans="1:5" x14ac:dyDescent="0.35">
      <c r="A18" s="59">
        <v>46011</v>
      </c>
      <c r="B18" s="70" t="s">
        <v>420</v>
      </c>
      <c r="C18" s="86" t="s">
        <v>612</v>
      </c>
      <c r="D18" s="71" t="s">
        <v>610</v>
      </c>
      <c r="E18" s="71">
        <v>31</v>
      </c>
    </row>
    <row r="19" spans="1:5" x14ac:dyDescent="0.35">
      <c r="A19" s="59">
        <v>46032</v>
      </c>
      <c r="B19" s="70" t="s">
        <v>437</v>
      </c>
      <c r="C19" s="86" t="s">
        <v>612</v>
      </c>
      <c r="D19" s="71" t="s">
        <v>610</v>
      </c>
      <c r="E19" s="71">
        <v>34</v>
      </c>
    </row>
    <row r="20" spans="1:5" x14ac:dyDescent="0.35">
      <c r="A20" s="59">
        <v>46039</v>
      </c>
      <c r="B20" s="70" t="s">
        <v>446</v>
      </c>
      <c r="C20" s="86" t="s">
        <v>612</v>
      </c>
      <c r="D20" s="71" t="s">
        <v>610</v>
      </c>
      <c r="E20" s="71">
        <v>37</v>
      </c>
    </row>
    <row r="21" spans="1:5" x14ac:dyDescent="0.35">
      <c r="A21" s="59">
        <v>46046</v>
      </c>
      <c r="B21" s="70" t="s">
        <v>262</v>
      </c>
      <c r="C21" s="86" t="s">
        <v>609</v>
      </c>
      <c r="D21" s="71" t="s">
        <v>610</v>
      </c>
      <c r="E21" s="71">
        <v>40</v>
      </c>
    </row>
    <row r="22" spans="1:5" x14ac:dyDescent="0.35">
      <c r="A22" s="59">
        <v>46053</v>
      </c>
      <c r="B22" s="70" t="s">
        <v>236</v>
      </c>
      <c r="C22" s="86" t="s">
        <v>613</v>
      </c>
      <c r="D22" s="71" t="s">
        <v>622</v>
      </c>
      <c r="E22" s="71">
        <v>41</v>
      </c>
    </row>
    <row r="23" spans="1:5" x14ac:dyDescent="0.35">
      <c r="A23" s="59">
        <v>46060</v>
      </c>
      <c r="B23" s="70" t="s">
        <v>277</v>
      </c>
      <c r="C23" s="86" t="s">
        <v>617</v>
      </c>
      <c r="D23" s="71" t="s">
        <v>605</v>
      </c>
      <c r="E23" s="71">
        <v>41</v>
      </c>
    </row>
    <row r="24" spans="1:5" ht="21" customHeight="1" x14ac:dyDescent="0.35">
      <c r="A24" s="59">
        <v>46067</v>
      </c>
      <c r="B24" s="70" t="s">
        <v>287</v>
      </c>
      <c r="C24" s="86" t="s">
        <v>612</v>
      </c>
      <c r="D24" s="71" t="s">
        <v>610</v>
      </c>
      <c r="E24" s="71">
        <v>44</v>
      </c>
    </row>
    <row r="25" spans="1:5" x14ac:dyDescent="0.35">
      <c r="A25" s="59">
        <v>46073</v>
      </c>
      <c r="B25" s="70" t="s">
        <v>298</v>
      </c>
      <c r="C25" s="86" t="s">
        <v>613</v>
      </c>
      <c r="D25" s="71" t="s">
        <v>622</v>
      </c>
      <c r="E25" s="71">
        <v>45</v>
      </c>
    </row>
    <row r="26" spans="1:5" x14ac:dyDescent="0.35">
      <c r="A26" s="59">
        <v>46081</v>
      </c>
      <c r="B26" s="70" t="s">
        <v>314</v>
      </c>
      <c r="C26" s="86" t="s">
        <v>616</v>
      </c>
      <c r="D26" s="71" t="s">
        <v>622</v>
      </c>
      <c r="E26" s="71">
        <v>46</v>
      </c>
    </row>
    <row r="27" spans="1:5" x14ac:dyDescent="0.35">
      <c r="A27" s="59">
        <v>46088</v>
      </c>
      <c r="B27" s="70" t="s">
        <v>323</v>
      </c>
      <c r="C27" s="86" t="s">
        <v>616</v>
      </c>
      <c r="D27" s="71" t="s">
        <v>622</v>
      </c>
      <c r="E27" s="71">
        <v>47</v>
      </c>
    </row>
    <row r="28" spans="1:5" ht="21" customHeight="1" x14ac:dyDescent="0.35">
      <c r="A28" s="59">
        <v>46095</v>
      </c>
      <c r="B28" s="70" t="s">
        <v>331</v>
      </c>
      <c r="C28" s="86" t="s">
        <v>618</v>
      </c>
      <c r="D28" s="71" t="s">
        <v>610</v>
      </c>
      <c r="E28" s="71">
        <v>50</v>
      </c>
    </row>
    <row r="29" spans="1:5" x14ac:dyDescent="0.35">
      <c r="A29" s="59">
        <v>46101</v>
      </c>
      <c r="B29" s="70" t="s">
        <v>340</v>
      </c>
      <c r="C29" s="86" t="s">
        <v>619</v>
      </c>
      <c r="D29" s="71" t="s">
        <v>610</v>
      </c>
      <c r="E29" s="71">
        <v>53</v>
      </c>
    </row>
    <row r="30" spans="1:5" x14ac:dyDescent="0.35">
      <c r="A30" s="59">
        <v>46106</v>
      </c>
      <c r="B30" s="70" t="s">
        <v>412</v>
      </c>
      <c r="C30" s="86" t="s">
        <v>620</v>
      </c>
      <c r="D30" s="71" t="s">
        <v>610</v>
      </c>
      <c r="E30" s="71">
        <v>56</v>
      </c>
    </row>
    <row r="31" spans="1:5" x14ac:dyDescent="0.35">
      <c r="A31" s="59">
        <v>46115</v>
      </c>
      <c r="B31" s="70" t="s">
        <v>353</v>
      </c>
      <c r="C31" s="86" t="s">
        <v>609</v>
      </c>
      <c r="D31" s="71" t="s">
        <v>610</v>
      </c>
      <c r="E31" s="71">
        <v>59</v>
      </c>
    </row>
    <row r="32" spans="1:5" ht="21" customHeight="1" x14ac:dyDescent="0.35">
      <c r="A32" s="59">
        <v>46123</v>
      </c>
      <c r="B32" s="70" t="s">
        <v>366</v>
      </c>
      <c r="C32" s="86" t="s">
        <v>609</v>
      </c>
      <c r="D32" s="71" t="s">
        <v>610</v>
      </c>
      <c r="E32" s="71">
        <v>62</v>
      </c>
    </row>
    <row r="33" spans="1:5" x14ac:dyDescent="0.35">
      <c r="A33" s="59">
        <v>46130</v>
      </c>
      <c r="B33" s="70" t="s">
        <v>373</v>
      </c>
      <c r="C33" s="86" t="s">
        <v>618</v>
      </c>
      <c r="D33" s="71" t="s">
        <v>610</v>
      </c>
      <c r="E33" s="71">
        <v>65</v>
      </c>
    </row>
    <row r="34" spans="1:5" x14ac:dyDescent="0.35">
      <c r="A34" s="59">
        <v>46134</v>
      </c>
      <c r="B34" s="70" t="s">
        <v>391</v>
      </c>
      <c r="C34" s="86" t="s">
        <v>609</v>
      </c>
      <c r="D34" s="71" t="s">
        <v>610</v>
      </c>
      <c r="E34" s="71">
        <v>68</v>
      </c>
    </row>
    <row r="35" spans="1:5" x14ac:dyDescent="0.35">
      <c r="A35" s="59">
        <v>46144</v>
      </c>
      <c r="B35" s="70" t="s">
        <v>397</v>
      </c>
      <c r="C35" s="86" t="s">
        <v>612</v>
      </c>
      <c r="D35" s="71" t="s">
        <v>610</v>
      </c>
      <c r="E35" s="71">
        <v>71</v>
      </c>
    </row>
    <row r="36" spans="1:5" x14ac:dyDescent="0.35">
      <c r="A36" s="59">
        <v>46150</v>
      </c>
      <c r="B36" s="70" t="s">
        <v>420</v>
      </c>
      <c r="C36" s="86" t="s">
        <v>612</v>
      </c>
      <c r="D36" s="71" t="s">
        <v>610</v>
      </c>
      <c r="E36" s="71">
        <v>74</v>
      </c>
    </row>
    <row r="37" spans="1:5" x14ac:dyDescent="0.35">
      <c r="A37" s="59">
        <v>46155</v>
      </c>
      <c r="B37" s="70" t="s">
        <v>411</v>
      </c>
      <c r="C37" s="86" t="s">
        <v>621</v>
      </c>
      <c r="D37" s="71" t="s">
        <v>610</v>
      </c>
      <c r="E37" s="71">
        <v>77</v>
      </c>
    </row>
    <row r="38" spans="1:5" x14ac:dyDescent="0.35">
      <c r="A38" s="59">
        <v>46158</v>
      </c>
      <c r="B38" s="70" t="s">
        <v>437</v>
      </c>
      <c r="C38" s="86" t="s">
        <v>616</v>
      </c>
      <c r="D38" s="71" t="s">
        <v>622</v>
      </c>
      <c r="E38" s="71">
        <v>78</v>
      </c>
    </row>
    <row r="39" spans="1:5" x14ac:dyDescent="0.35">
      <c r="A39" s="59">
        <v>46165</v>
      </c>
      <c r="B39" s="70" t="s">
        <v>446</v>
      </c>
      <c r="C39" s="86" t="s">
        <v>613</v>
      </c>
      <c r="D39" s="71" t="s">
        <v>622</v>
      </c>
      <c r="E39" s="71">
        <v>79</v>
      </c>
    </row>
  </sheetData>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2966-CBAE-4D22-9BED-4053A66B84C8}">
  <sheetPr codeName="Sheet3"/>
  <dimension ref="A1:AA50"/>
  <sheetViews>
    <sheetView zoomScale="113" workbookViewId="0">
      <selection activeCell="G2" sqref="G2"/>
    </sheetView>
  </sheetViews>
  <sheetFormatPr defaultColWidth="9" defaultRowHeight="15" x14ac:dyDescent="0.25"/>
  <cols>
    <col min="1" max="1" width="15" style="7" customWidth="1"/>
    <col min="2" max="2" width="9" style="7"/>
    <col min="3" max="3" width="10" style="7" customWidth="1"/>
    <col min="4" max="4" width="18.25" style="7" customWidth="1"/>
    <col min="5" max="5" width="8" style="7" customWidth="1"/>
    <col min="6" max="6" width="7.375" style="7" customWidth="1"/>
    <col min="7" max="8" width="12.625" style="7" customWidth="1"/>
    <col min="9" max="9" width="12.5" style="7" customWidth="1"/>
    <col min="10" max="13" width="12.625" style="7" customWidth="1"/>
    <col min="14" max="14" width="12.5" style="7" customWidth="1"/>
    <col min="15" max="16" width="18.5" style="7" customWidth="1"/>
    <col min="17" max="17" width="12.5" style="7" customWidth="1"/>
    <col min="18" max="27" width="12.625" style="7" customWidth="1"/>
    <col min="28" max="16384" width="9" style="7"/>
  </cols>
  <sheetData>
    <row r="1" spans="1:27" ht="15" customHeight="1" x14ac:dyDescent="0.3">
      <c r="A1" s="11" t="s">
        <v>42</v>
      </c>
      <c r="B1" s="11" t="s">
        <v>0</v>
      </c>
      <c r="C1" s="11" t="s">
        <v>1</v>
      </c>
      <c r="D1" s="11" t="s">
        <v>43</v>
      </c>
      <c r="E1" s="11" t="s">
        <v>2</v>
      </c>
      <c r="F1" s="11" t="s">
        <v>3</v>
      </c>
      <c r="G1" s="11" t="s">
        <v>178</v>
      </c>
      <c r="H1" s="11" t="s">
        <v>179</v>
      </c>
      <c r="I1" s="11" t="s">
        <v>157</v>
      </c>
      <c r="J1" s="11" t="s">
        <v>98</v>
      </c>
      <c r="K1" s="11" t="s">
        <v>180</v>
      </c>
      <c r="L1" s="11" t="s">
        <v>181</v>
      </c>
      <c r="M1" s="11" t="s">
        <v>173</v>
      </c>
      <c r="N1" s="11" t="s">
        <v>9</v>
      </c>
      <c r="O1" s="11" t="s">
        <v>182</v>
      </c>
      <c r="P1" s="11" t="s">
        <v>93</v>
      </c>
      <c r="Q1" s="12" t="s">
        <v>4</v>
      </c>
      <c r="R1" s="12" t="s">
        <v>6</v>
      </c>
      <c r="S1" s="12" t="s">
        <v>174</v>
      </c>
      <c r="T1" s="12" t="s">
        <v>8</v>
      </c>
      <c r="U1" s="12" t="s">
        <v>10</v>
      </c>
      <c r="V1" s="23" t="s">
        <v>155</v>
      </c>
      <c r="W1" s="11" t="s">
        <v>101</v>
      </c>
      <c r="X1" s="11" t="s">
        <v>156</v>
      </c>
      <c r="Y1" s="11" t="s">
        <v>176</v>
      </c>
      <c r="Z1" s="11" t="s">
        <v>177</v>
      </c>
      <c r="AA1" s="11" t="s">
        <v>97</v>
      </c>
    </row>
    <row r="2" spans="1:27" ht="15" customHeight="1" x14ac:dyDescent="0.25">
      <c r="A2" s="8" t="s">
        <v>41</v>
      </c>
      <c r="B2" s="8">
        <v>28</v>
      </c>
      <c r="C2" s="8" t="s">
        <v>11</v>
      </c>
      <c r="D2" s="8" t="s">
        <v>44</v>
      </c>
      <c r="E2" s="8" t="s">
        <v>120</v>
      </c>
      <c r="F2" s="8" t="s">
        <v>121</v>
      </c>
      <c r="G2" s="8">
        <v>16</v>
      </c>
      <c r="H2" s="8">
        <v>13</v>
      </c>
      <c r="I2" s="8">
        <v>13</v>
      </c>
      <c r="J2" s="8">
        <v>12</v>
      </c>
      <c r="K2" s="8">
        <v>13</v>
      </c>
      <c r="L2" s="8">
        <v>13</v>
      </c>
      <c r="M2" s="8">
        <v>11</v>
      </c>
      <c r="N2" s="8">
        <v>13</v>
      </c>
      <c r="O2" s="24">
        <v>12</v>
      </c>
      <c r="P2" s="8">
        <v>11</v>
      </c>
    </row>
    <row r="3" spans="1:27" ht="15" customHeight="1" x14ac:dyDescent="0.25">
      <c r="A3" s="9" t="s">
        <v>106</v>
      </c>
      <c r="B3" s="9">
        <v>37</v>
      </c>
      <c r="C3" s="9" t="s">
        <v>11</v>
      </c>
      <c r="D3" s="9" t="s">
        <v>114</v>
      </c>
      <c r="E3" s="9" t="s">
        <v>122</v>
      </c>
      <c r="F3" s="9" t="s">
        <v>123</v>
      </c>
      <c r="G3" s="9">
        <v>14</v>
      </c>
      <c r="H3" s="9">
        <v>15</v>
      </c>
      <c r="I3" s="9">
        <v>14</v>
      </c>
      <c r="J3" s="9">
        <v>12</v>
      </c>
      <c r="K3" s="9">
        <v>12</v>
      </c>
      <c r="L3" s="9">
        <v>13</v>
      </c>
      <c r="M3" s="9">
        <v>10</v>
      </c>
      <c r="N3" s="9">
        <v>13</v>
      </c>
      <c r="O3" s="15">
        <v>11</v>
      </c>
      <c r="P3" s="8">
        <v>9</v>
      </c>
    </row>
    <row r="4" spans="1:27" ht="15" customHeight="1" x14ac:dyDescent="0.25">
      <c r="A4" s="8" t="s">
        <v>108</v>
      </c>
      <c r="B4" s="8">
        <v>23</v>
      </c>
      <c r="C4" s="8" t="s">
        <v>163</v>
      </c>
      <c r="D4" s="8" t="s">
        <v>55</v>
      </c>
      <c r="E4" s="8" t="s">
        <v>124</v>
      </c>
      <c r="F4" s="8" t="s">
        <v>125</v>
      </c>
      <c r="J4" s="8">
        <v>12</v>
      </c>
      <c r="N4" s="8">
        <v>12</v>
      </c>
      <c r="P4" s="8">
        <v>13</v>
      </c>
      <c r="Q4" s="8">
        <v>13</v>
      </c>
      <c r="R4" s="8">
        <v>13</v>
      </c>
      <c r="S4" s="8">
        <v>11</v>
      </c>
      <c r="T4" s="8">
        <v>9</v>
      </c>
      <c r="U4" s="8">
        <v>12</v>
      </c>
      <c r="V4" s="8">
        <v>14</v>
      </c>
    </row>
    <row r="5" spans="1:27" ht="15" customHeight="1" x14ac:dyDescent="0.25">
      <c r="A5" s="9" t="s">
        <v>45</v>
      </c>
      <c r="B5" s="9">
        <v>29</v>
      </c>
      <c r="C5" s="9" t="s">
        <v>164</v>
      </c>
      <c r="D5" s="9" t="s">
        <v>46</v>
      </c>
      <c r="E5" s="9" t="s">
        <v>126</v>
      </c>
      <c r="F5" s="9" t="s">
        <v>127</v>
      </c>
      <c r="J5" s="9">
        <v>14</v>
      </c>
      <c r="N5" s="9">
        <v>13</v>
      </c>
      <c r="P5" s="9">
        <v>14</v>
      </c>
      <c r="Q5" s="9">
        <v>14</v>
      </c>
      <c r="R5" s="9">
        <v>14</v>
      </c>
      <c r="S5" s="9">
        <v>10</v>
      </c>
      <c r="T5" s="9">
        <v>10</v>
      </c>
      <c r="U5" s="9">
        <v>13</v>
      </c>
      <c r="V5" s="9">
        <v>15</v>
      </c>
    </row>
    <row r="6" spans="1:27" x14ac:dyDescent="0.25">
      <c r="A6" s="8" t="s">
        <v>50</v>
      </c>
      <c r="B6" s="8">
        <v>31</v>
      </c>
      <c r="C6" s="8" t="s">
        <v>164</v>
      </c>
      <c r="D6" s="8" t="s">
        <v>51</v>
      </c>
      <c r="E6" s="8" t="s">
        <v>131</v>
      </c>
      <c r="F6" s="8" t="s">
        <v>132</v>
      </c>
      <c r="J6" s="8">
        <v>13</v>
      </c>
      <c r="N6" s="8">
        <v>12</v>
      </c>
      <c r="P6" s="8">
        <v>15</v>
      </c>
      <c r="Q6" s="8">
        <v>11</v>
      </c>
      <c r="R6" s="8">
        <v>13</v>
      </c>
      <c r="S6" s="8">
        <v>11</v>
      </c>
      <c r="T6" s="8">
        <v>12</v>
      </c>
      <c r="U6" s="8">
        <v>11</v>
      </c>
      <c r="V6" s="8">
        <v>13</v>
      </c>
    </row>
    <row r="7" spans="1:27" x14ac:dyDescent="0.25">
      <c r="A7" s="8" t="s">
        <v>107</v>
      </c>
      <c r="B7" s="8">
        <v>19</v>
      </c>
      <c r="C7" s="8" t="s">
        <v>163</v>
      </c>
      <c r="D7" s="8" t="s">
        <v>116</v>
      </c>
      <c r="E7" s="8" t="s">
        <v>133</v>
      </c>
      <c r="F7" s="8" t="s">
        <v>488</v>
      </c>
      <c r="J7" s="8">
        <v>8</v>
      </c>
      <c r="N7" s="8">
        <v>15</v>
      </c>
      <c r="P7" s="8">
        <v>12</v>
      </c>
      <c r="Q7" s="8">
        <v>13</v>
      </c>
      <c r="R7" s="8">
        <v>15</v>
      </c>
      <c r="S7" s="8">
        <v>8</v>
      </c>
      <c r="T7" s="8">
        <v>15</v>
      </c>
      <c r="U7" s="8">
        <v>12</v>
      </c>
      <c r="V7" s="8">
        <v>12</v>
      </c>
    </row>
    <row r="8" spans="1:27" x14ac:dyDescent="0.25">
      <c r="A8" s="8" t="s">
        <v>384</v>
      </c>
      <c r="B8" s="8">
        <v>21</v>
      </c>
      <c r="C8" s="8" t="s">
        <v>164</v>
      </c>
      <c r="D8" s="8" t="s">
        <v>385</v>
      </c>
      <c r="E8" s="8" t="s">
        <v>386</v>
      </c>
      <c r="F8" s="8" t="s">
        <v>130</v>
      </c>
      <c r="J8" s="8">
        <v>11</v>
      </c>
      <c r="N8" s="8">
        <v>10</v>
      </c>
      <c r="P8" s="8">
        <v>9</v>
      </c>
      <c r="Q8" s="8">
        <v>15</v>
      </c>
      <c r="R8" s="8">
        <v>9</v>
      </c>
      <c r="S8" s="8">
        <v>11</v>
      </c>
      <c r="T8" s="8">
        <v>10</v>
      </c>
      <c r="U8" s="8">
        <v>11</v>
      </c>
      <c r="V8" s="8">
        <v>12</v>
      </c>
    </row>
    <row r="9" spans="1:27" x14ac:dyDescent="0.25">
      <c r="A9" s="8" t="s">
        <v>109</v>
      </c>
      <c r="B9" s="8">
        <v>22</v>
      </c>
      <c r="C9" s="8" t="s">
        <v>47</v>
      </c>
      <c r="D9" s="8" t="s">
        <v>115</v>
      </c>
      <c r="E9" s="8" t="s">
        <v>128</v>
      </c>
      <c r="F9" s="8" t="s">
        <v>150</v>
      </c>
      <c r="I9" s="8">
        <v>8</v>
      </c>
      <c r="J9" s="8">
        <v>9</v>
      </c>
      <c r="M9" s="24">
        <v>12</v>
      </c>
      <c r="N9" s="8">
        <v>11</v>
      </c>
      <c r="P9" s="8">
        <v>11</v>
      </c>
      <c r="T9" s="8">
        <v>10</v>
      </c>
      <c r="U9" s="8">
        <v>11</v>
      </c>
      <c r="W9" s="8">
        <v>10</v>
      </c>
    </row>
    <row r="10" spans="1:27" x14ac:dyDescent="0.25">
      <c r="A10" s="8" t="s">
        <v>48</v>
      </c>
      <c r="B10" s="8">
        <v>23</v>
      </c>
      <c r="C10" s="8" t="s">
        <v>47</v>
      </c>
      <c r="D10" s="8" t="s">
        <v>49</v>
      </c>
      <c r="E10" s="8" t="s">
        <v>129</v>
      </c>
      <c r="F10" s="8" t="s">
        <v>130</v>
      </c>
      <c r="I10" s="8">
        <v>13</v>
      </c>
      <c r="J10" s="8">
        <v>12</v>
      </c>
      <c r="M10" s="24">
        <v>11</v>
      </c>
      <c r="N10" s="8">
        <v>12</v>
      </c>
      <c r="P10" s="8">
        <v>14</v>
      </c>
      <c r="T10" s="8">
        <v>12</v>
      </c>
      <c r="U10" s="8">
        <v>13</v>
      </c>
      <c r="W10" s="8">
        <v>12</v>
      </c>
    </row>
    <row r="11" spans="1:27" x14ac:dyDescent="0.25">
      <c r="A11" s="22" t="s">
        <v>188</v>
      </c>
      <c r="B11" s="8">
        <v>32</v>
      </c>
      <c r="C11" s="8" t="s">
        <v>47</v>
      </c>
      <c r="D11" s="8" t="s">
        <v>191</v>
      </c>
      <c r="E11" s="27" t="s">
        <v>144</v>
      </c>
      <c r="F11" s="27" t="s">
        <v>197</v>
      </c>
      <c r="I11" s="8">
        <v>15</v>
      </c>
      <c r="J11" s="8">
        <v>19</v>
      </c>
      <c r="M11" s="24">
        <v>11</v>
      </c>
      <c r="N11" s="8">
        <v>16</v>
      </c>
      <c r="P11" s="8">
        <v>16</v>
      </c>
      <c r="T11" s="8">
        <v>10</v>
      </c>
      <c r="U11" s="8">
        <v>18</v>
      </c>
      <c r="W11" s="8">
        <v>16</v>
      </c>
    </row>
    <row r="12" spans="1:27" x14ac:dyDescent="0.25">
      <c r="A12" s="22" t="s">
        <v>387</v>
      </c>
      <c r="B12" s="8">
        <v>23</v>
      </c>
      <c r="C12" s="8" t="s">
        <v>47</v>
      </c>
      <c r="D12" s="8" t="s">
        <v>388</v>
      </c>
      <c r="E12" s="27" t="s">
        <v>389</v>
      </c>
      <c r="F12" s="27" t="s">
        <v>390</v>
      </c>
      <c r="I12" s="8">
        <v>15</v>
      </c>
      <c r="J12" s="8">
        <v>10</v>
      </c>
      <c r="M12" s="24">
        <v>9</v>
      </c>
      <c r="N12" s="8">
        <v>10</v>
      </c>
      <c r="P12" s="8">
        <v>12</v>
      </c>
      <c r="T12" s="8">
        <v>7</v>
      </c>
      <c r="U12" s="8">
        <v>11</v>
      </c>
      <c r="W12" s="8">
        <v>13</v>
      </c>
    </row>
    <row r="13" spans="1:27" ht="15" customHeight="1" x14ac:dyDescent="0.25">
      <c r="A13" s="8" t="s">
        <v>52</v>
      </c>
      <c r="B13" s="8">
        <v>24</v>
      </c>
      <c r="C13" s="8" t="s">
        <v>12</v>
      </c>
      <c r="D13" s="8" t="s">
        <v>53</v>
      </c>
      <c r="E13" s="8" t="s">
        <v>135</v>
      </c>
      <c r="F13" s="8" t="s">
        <v>136</v>
      </c>
      <c r="J13" s="8">
        <v>14</v>
      </c>
      <c r="M13" s="8">
        <v>14</v>
      </c>
      <c r="N13" s="8">
        <v>14</v>
      </c>
      <c r="P13" s="8">
        <v>15</v>
      </c>
      <c r="R13" s="8">
        <v>14</v>
      </c>
      <c r="T13" s="8">
        <v>13</v>
      </c>
      <c r="U13" s="8">
        <v>13</v>
      </c>
      <c r="W13" s="8">
        <v>11</v>
      </c>
    </row>
    <row r="14" spans="1:27" ht="15" customHeight="1" x14ac:dyDescent="0.25">
      <c r="A14" s="8" t="s">
        <v>54</v>
      </c>
      <c r="B14" s="8">
        <v>28</v>
      </c>
      <c r="C14" s="8" t="s">
        <v>12</v>
      </c>
      <c r="D14" s="8" t="s">
        <v>55</v>
      </c>
      <c r="E14" s="8" t="s">
        <v>137</v>
      </c>
      <c r="F14" s="8" t="s">
        <v>138</v>
      </c>
      <c r="J14" s="8">
        <v>13</v>
      </c>
      <c r="M14" s="8">
        <v>13</v>
      </c>
      <c r="N14" s="8">
        <v>13</v>
      </c>
      <c r="P14" s="8">
        <v>16</v>
      </c>
      <c r="R14" s="8">
        <v>16</v>
      </c>
      <c r="T14" s="8">
        <v>14</v>
      </c>
      <c r="U14" s="8">
        <v>13</v>
      </c>
      <c r="W14" s="8">
        <v>13</v>
      </c>
    </row>
    <row r="15" spans="1:27" ht="15" customHeight="1" x14ac:dyDescent="0.25">
      <c r="A15" s="8" t="s">
        <v>56</v>
      </c>
      <c r="B15" s="8">
        <v>27</v>
      </c>
      <c r="C15" s="8" t="s">
        <v>110</v>
      </c>
      <c r="D15" s="8" t="s">
        <v>55</v>
      </c>
      <c r="E15" s="8" t="s">
        <v>139</v>
      </c>
      <c r="F15" s="8" t="s">
        <v>140</v>
      </c>
      <c r="J15" s="8">
        <v>8</v>
      </c>
      <c r="M15" s="8">
        <v>17</v>
      </c>
      <c r="N15" s="8">
        <v>13</v>
      </c>
      <c r="O15" s="28"/>
      <c r="P15" s="8">
        <v>11</v>
      </c>
      <c r="R15" s="8">
        <v>12</v>
      </c>
      <c r="T15" s="8">
        <v>14</v>
      </c>
      <c r="V15" s="8">
        <v>12</v>
      </c>
      <c r="W15" s="8">
        <v>11</v>
      </c>
      <c r="X15" s="8">
        <v>12</v>
      </c>
    </row>
    <row r="16" spans="1:27" x14ac:dyDescent="0.25">
      <c r="A16" s="8" t="s">
        <v>57</v>
      </c>
      <c r="B16" s="8">
        <v>26</v>
      </c>
      <c r="C16" s="8" t="s">
        <v>110</v>
      </c>
      <c r="D16" s="8" t="s">
        <v>58</v>
      </c>
      <c r="E16" s="8" t="s">
        <v>141</v>
      </c>
      <c r="F16" s="8" t="s">
        <v>142</v>
      </c>
      <c r="J16" s="8">
        <v>13</v>
      </c>
      <c r="M16" s="8">
        <v>12</v>
      </c>
      <c r="N16" s="8">
        <v>12</v>
      </c>
      <c r="P16" s="8">
        <v>15</v>
      </c>
      <c r="R16" s="8">
        <v>14</v>
      </c>
      <c r="T16" s="8">
        <v>12</v>
      </c>
      <c r="V16" s="8">
        <v>14</v>
      </c>
      <c r="W16" s="8">
        <v>12</v>
      </c>
      <c r="X16" s="8">
        <v>13</v>
      </c>
    </row>
    <row r="17" spans="1:27" x14ac:dyDescent="0.25">
      <c r="A17" s="8" t="s">
        <v>379</v>
      </c>
      <c r="B17" s="8">
        <v>16</v>
      </c>
      <c r="C17" s="8" t="s">
        <v>110</v>
      </c>
      <c r="D17" s="8" t="s">
        <v>382</v>
      </c>
      <c r="E17" s="8" t="s">
        <v>380</v>
      </c>
      <c r="F17" s="8" t="s">
        <v>381</v>
      </c>
      <c r="J17" s="8">
        <v>11</v>
      </c>
      <c r="M17" s="8">
        <v>9</v>
      </c>
      <c r="N17" s="8">
        <v>11</v>
      </c>
      <c r="P17" s="8">
        <v>11</v>
      </c>
      <c r="R17" s="8">
        <v>11</v>
      </c>
      <c r="T17" s="8">
        <v>13</v>
      </c>
      <c r="V17" s="8">
        <v>11</v>
      </c>
      <c r="W17" s="8">
        <v>9</v>
      </c>
      <c r="X17" s="8">
        <v>12</v>
      </c>
    </row>
    <row r="18" spans="1:27" ht="14.45" customHeight="1" x14ac:dyDescent="0.25">
      <c r="A18" s="8" t="s">
        <v>59</v>
      </c>
      <c r="B18" s="8">
        <v>31</v>
      </c>
      <c r="C18" s="8" t="s">
        <v>167</v>
      </c>
      <c r="D18" s="8" t="s">
        <v>60</v>
      </c>
      <c r="E18" s="8" t="s">
        <v>124</v>
      </c>
      <c r="F18" s="8" t="s">
        <v>143</v>
      </c>
      <c r="M18" s="8">
        <v>13</v>
      </c>
      <c r="N18" s="8">
        <v>12</v>
      </c>
      <c r="P18" s="8">
        <v>9</v>
      </c>
      <c r="Q18" s="8">
        <v>12</v>
      </c>
      <c r="R18" s="8">
        <v>10</v>
      </c>
      <c r="T18" s="8">
        <v>15</v>
      </c>
      <c r="X18" s="8">
        <v>12</v>
      </c>
      <c r="Y18" s="8">
        <v>15</v>
      </c>
      <c r="Z18" s="8">
        <v>10</v>
      </c>
    </row>
    <row r="19" spans="1:27" ht="14.45" customHeight="1" x14ac:dyDescent="0.25">
      <c r="A19" s="8" t="s">
        <v>111</v>
      </c>
      <c r="B19" s="8">
        <v>25</v>
      </c>
      <c r="C19" s="8" t="s">
        <v>167</v>
      </c>
      <c r="D19" s="8" t="s">
        <v>117</v>
      </c>
      <c r="E19" s="8" t="s">
        <v>134</v>
      </c>
      <c r="F19" s="8" t="s">
        <v>151</v>
      </c>
      <c r="M19" s="8">
        <v>12</v>
      </c>
      <c r="N19" s="8">
        <v>13</v>
      </c>
      <c r="P19" s="8">
        <v>12</v>
      </c>
      <c r="Q19" s="8">
        <v>10</v>
      </c>
      <c r="R19" s="8">
        <v>12</v>
      </c>
      <c r="T19" s="8">
        <v>14</v>
      </c>
      <c r="X19" s="8">
        <v>13</v>
      </c>
      <c r="Y19" s="8">
        <v>15</v>
      </c>
      <c r="Z19" s="8">
        <v>12</v>
      </c>
    </row>
    <row r="20" spans="1:27" ht="14.45" customHeight="1" x14ac:dyDescent="0.25">
      <c r="A20" s="8" t="s">
        <v>112</v>
      </c>
      <c r="B20" s="8">
        <v>26</v>
      </c>
      <c r="C20" s="8" t="s">
        <v>165</v>
      </c>
      <c r="D20" s="8" t="s">
        <v>118</v>
      </c>
      <c r="E20" s="8" t="s">
        <v>144</v>
      </c>
      <c r="F20" s="8" t="s">
        <v>152</v>
      </c>
      <c r="M20" s="8">
        <v>11</v>
      </c>
      <c r="N20" s="8">
        <v>12</v>
      </c>
      <c r="P20" s="8">
        <v>14</v>
      </c>
      <c r="Q20" s="8">
        <v>13</v>
      </c>
      <c r="R20" s="8">
        <v>12</v>
      </c>
      <c r="S20" s="8">
        <v>12</v>
      </c>
      <c r="X20" s="8">
        <v>14</v>
      </c>
      <c r="AA20" s="8">
        <v>12</v>
      </c>
    </row>
    <row r="21" spans="1:27" x14ac:dyDescent="0.25">
      <c r="A21" s="8" t="s">
        <v>430</v>
      </c>
      <c r="B21" s="8">
        <v>26</v>
      </c>
      <c r="C21" s="8" t="s">
        <v>166</v>
      </c>
      <c r="D21" s="8" t="s">
        <v>431</v>
      </c>
      <c r="E21" s="8" t="s">
        <v>432</v>
      </c>
      <c r="F21" s="8" t="s">
        <v>433</v>
      </c>
      <c r="M21" s="8">
        <v>14</v>
      </c>
      <c r="N21" s="8">
        <v>13</v>
      </c>
      <c r="P21" s="8">
        <v>12</v>
      </c>
      <c r="Q21" s="8">
        <v>16</v>
      </c>
      <c r="R21" s="8">
        <v>12</v>
      </c>
      <c r="S21" s="8">
        <v>14</v>
      </c>
      <c r="X21" s="8">
        <v>15</v>
      </c>
      <c r="AA21" s="8">
        <v>15</v>
      </c>
    </row>
    <row r="22" spans="1:27" x14ac:dyDescent="0.25">
      <c r="A22" s="8" t="s">
        <v>61</v>
      </c>
      <c r="B22" s="8">
        <v>28</v>
      </c>
      <c r="C22" s="8" t="s">
        <v>13</v>
      </c>
      <c r="D22" s="8" t="s">
        <v>62</v>
      </c>
      <c r="E22" s="8" t="s">
        <v>139</v>
      </c>
      <c r="F22" s="8" t="s">
        <v>145</v>
      </c>
      <c r="I22" s="8">
        <v>14</v>
      </c>
      <c r="N22" s="8">
        <v>12</v>
      </c>
      <c r="P22" s="8">
        <v>14</v>
      </c>
      <c r="Q22" s="8">
        <v>13</v>
      </c>
      <c r="V22" s="8">
        <v>16</v>
      </c>
      <c r="W22" s="8">
        <v>13</v>
      </c>
      <c r="X22" s="8">
        <v>14</v>
      </c>
      <c r="Z22" s="8">
        <v>17</v>
      </c>
    </row>
    <row r="23" spans="1:27" x14ac:dyDescent="0.25">
      <c r="A23" s="8" t="s">
        <v>63</v>
      </c>
      <c r="B23" s="8">
        <v>29</v>
      </c>
      <c r="C23" s="8" t="s">
        <v>13</v>
      </c>
      <c r="D23" s="8" t="s">
        <v>64</v>
      </c>
      <c r="E23" s="8" t="s">
        <v>146</v>
      </c>
      <c r="F23" s="8" t="s">
        <v>147</v>
      </c>
      <c r="I23" s="8">
        <v>13</v>
      </c>
      <c r="N23" s="8">
        <v>14</v>
      </c>
      <c r="P23" s="8">
        <v>16</v>
      </c>
      <c r="Q23" s="8">
        <v>15</v>
      </c>
      <c r="V23" s="8">
        <v>11</v>
      </c>
      <c r="W23" s="8">
        <v>16</v>
      </c>
      <c r="X23" s="8">
        <v>12</v>
      </c>
      <c r="Z23" s="8">
        <v>15</v>
      </c>
    </row>
    <row r="24" spans="1:27" x14ac:dyDescent="0.25">
      <c r="A24" s="8" t="s">
        <v>113</v>
      </c>
      <c r="B24" s="8">
        <v>25</v>
      </c>
      <c r="C24" s="8" t="s">
        <v>13</v>
      </c>
      <c r="D24" s="8" t="s">
        <v>119</v>
      </c>
      <c r="E24" s="8" t="s">
        <v>148</v>
      </c>
      <c r="F24" s="8" t="s">
        <v>130</v>
      </c>
      <c r="I24" s="8">
        <v>13</v>
      </c>
      <c r="N24" s="8">
        <v>12</v>
      </c>
      <c r="P24" s="8">
        <v>12</v>
      </c>
      <c r="Q24" s="8">
        <v>13</v>
      </c>
      <c r="V24" s="8">
        <v>12</v>
      </c>
      <c r="W24" s="8">
        <v>14</v>
      </c>
      <c r="X24" s="8">
        <v>12</v>
      </c>
      <c r="Z24" s="8">
        <v>16</v>
      </c>
    </row>
    <row r="25" spans="1:27" x14ac:dyDescent="0.25">
      <c r="A25" s="8" t="s">
        <v>65</v>
      </c>
      <c r="B25" s="8">
        <v>31</v>
      </c>
      <c r="C25" s="8" t="s">
        <v>13</v>
      </c>
      <c r="D25" s="8" t="s">
        <v>66</v>
      </c>
      <c r="E25" s="8" t="s">
        <v>131</v>
      </c>
      <c r="F25" s="8" t="s">
        <v>149</v>
      </c>
      <c r="I25" s="8">
        <v>13</v>
      </c>
      <c r="N25" s="8">
        <v>11</v>
      </c>
      <c r="P25" s="8">
        <v>13</v>
      </c>
      <c r="Q25" s="8">
        <v>13</v>
      </c>
      <c r="V25" s="8">
        <v>15</v>
      </c>
      <c r="W25" s="8">
        <v>14</v>
      </c>
      <c r="X25" s="8">
        <v>12</v>
      </c>
      <c r="Z25" s="8">
        <v>13</v>
      </c>
    </row>
    <row r="26" spans="1:27" ht="15" customHeight="1" x14ac:dyDescent="0.25"/>
    <row r="32" spans="1:27" x14ac:dyDescent="0.25">
      <c r="D32" s="74"/>
    </row>
    <row r="33" spans="1:17" ht="15" customHeight="1" x14ac:dyDescent="0.25">
      <c r="A33" s="74"/>
      <c r="B33" s="74"/>
      <c r="C33" s="74"/>
      <c r="D33" s="73"/>
    </row>
    <row r="34" spans="1:17" ht="15.75" customHeight="1" x14ac:dyDescent="0.25">
      <c r="A34" s="73"/>
      <c r="B34" s="73"/>
      <c r="C34" s="73"/>
      <c r="E34" s="74"/>
    </row>
    <row r="35" spans="1:17" x14ac:dyDescent="0.25">
      <c r="D35" s="73"/>
      <c r="E35" s="73"/>
    </row>
    <row r="36" spans="1:17" x14ac:dyDescent="0.25">
      <c r="A36" s="73"/>
      <c r="B36" s="73"/>
      <c r="C36" s="73"/>
      <c r="D36" s="73"/>
      <c r="E36" s="73"/>
      <c r="F36" s="74"/>
      <c r="G36" s="74"/>
    </row>
    <row r="37" spans="1:17" x14ac:dyDescent="0.25">
      <c r="A37" s="73"/>
      <c r="B37" s="73"/>
      <c r="C37" s="73"/>
      <c r="E37" s="73"/>
      <c r="F37" s="73"/>
      <c r="G37" s="73"/>
    </row>
    <row r="38" spans="1:17" x14ac:dyDescent="0.25">
      <c r="D38" s="73"/>
      <c r="E38" s="73"/>
      <c r="F38" s="73"/>
      <c r="G38" s="73"/>
    </row>
    <row r="39" spans="1:17" x14ac:dyDescent="0.25">
      <c r="A39" s="73"/>
      <c r="B39" s="73"/>
      <c r="C39" s="73"/>
      <c r="D39" s="73"/>
      <c r="E39" s="73"/>
      <c r="F39" s="73"/>
      <c r="G39" s="73"/>
    </row>
    <row r="40" spans="1:17" x14ac:dyDescent="0.25">
      <c r="A40" s="73"/>
      <c r="B40" s="73"/>
      <c r="C40" s="73"/>
      <c r="D40" s="73"/>
      <c r="E40" s="73"/>
      <c r="F40" s="73"/>
      <c r="G40" s="73"/>
    </row>
    <row r="41" spans="1:17" x14ac:dyDescent="0.25">
      <c r="A41" s="73"/>
      <c r="B41" s="73"/>
      <c r="C41" s="73"/>
      <c r="D41" s="83"/>
      <c r="E41" s="73"/>
      <c r="F41" s="73"/>
      <c r="G41" s="73"/>
    </row>
    <row r="42" spans="1:17" x14ac:dyDescent="0.25">
      <c r="A42" s="83"/>
      <c r="B42" s="83"/>
      <c r="C42" s="83"/>
      <c r="D42" s="73"/>
      <c r="E42" s="73"/>
      <c r="F42" s="73"/>
      <c r="G42" s="73"/>
    </row>
    <row r="43" spans="1:17" x14ac:dyDescent="0.25">
      <c r="G43" s="72"/>
      <c r="H43" s="72"/>
      <c r="I43" s="72"/>
      <c r="J43" s="72"/>
      <c r="K43" s="73"/>
      <c r="L43" s="73"/>
      <c r="M43" s="73"/>
      <c r="N43" s="73"/>
      <c r="O43" s="83"/>
      <c r="P43" s="73"/>
      <c r="Q43" s="73"/>
    </row>
    <row r="44" spans="1:17" x14ac:dyDescent="0.25">
      <c r="G44" s="73"/>
      <c r="H44" s="73"/>
      <c r="I44" s="73"/>
      <c r="J44" s="73"/>
      <c r="K44" s="73"/>
      <c r="L44" s="73"/>
      <c r="M44" s="73"/>
      <c r="O44" s="73"/>
      <c r="P44" s="73"/>
      <c r="Q44" s="73"/>
    </row>
    <row r="45" spans="1:17" x14ac:dyDescent="0.25">
      <c r="O45" s="73"/>
      <c r="P45" s="83"/>
      <c r="Q45" s="83"/>
    </row>
    <row r="46" spans="1:17" x14ac:dyDescent="0.25">
      <c r="P46" s="73"/>
      <c r="Q46" s="73"/>
    </row>
    <row r="47" spans="1:17" x14ac:dyDescent="0.25">
      <c r="O47" s="73"/>
      <c r="P47" s="73"/>
      <c r="Q47" s="73"/>
    </row>
    <row r="49" spans="16:17" x14ac:dyDescent="0.25">
      <c r="P49" s="73"/>
      <c r="Q49" s="73"/>
    </row>
    <row r="50" spans="16:17" ht="15" customHeight="1" x14ac:dyDescent="0.25"/>
  </sheetData>
  <conditionalFormatting sqref="E32:E33 Z22:Z25 V22:W25 G25:H25 J25:M25 I22:I25 S20:S21 AA20:AA21 Q18:Q25 Y18:Z19 X15:X25 G17:I17 K17:L17 T15:T19 Q4:V8 G1:P3 G11:H11 K11:L11 J4:J8 M9:M21 J13:J17 T9:U14 N4:N25 W1:AA1 W9:W17 I9:J12 P4:P30 F31:F35 O23:O29 O11:O17 R13:R21 V15:V17">
    <cfRule type="colorScale" priority="386">
      <colorScale>
        <cfvo type="min"/>
        <cfvo type="percentile" val="50"/>
        <cfvo type="max"/>
        <color rgb="FFF8696B"/>
        <color rgb="FFFCFCFF"/>
        <color rgb="FF63BE7B"/>
      </colorScale>
    </cfRule>
  </conditionalFormatting>
  <conditionalFormatting sqref="N22:N25 Q22:Q25 Z22:Z25 V22:W25 I22:I25 Y18:Z19 V15:V17 M9:N10 W9:W10 P9:P10 T9:U10 I9:J10 G1:P3 G11:H11 K11:L11 O11 O23 P4:V5 N4:N5 J4:J5 P30 G17:I17 K17:L17 T13:U14 W13:W17 J13:J17 R13:R17 G25:H25 J25:M25 S20:S21 Q18:R21 M13:N21 AA1 AA20:AA21 P13:P26 X15:X25 T15:T19">
    <cfRule type="colorScale" priority="326">
      <colorScale>
        <cfvo type="min"/>
        <cfvo type="percentile" val="50"/>
        <cfvo type="max"/>
        <color rgb="FFF8696B"/>
        <color rgb="FFFCFCFF"/>
        <color rgb="FF63BE7B"/>
      </colorScale>
    </cfRule>
  </conditionalFormatting>
  <conditionalFormatting sqref="P6:V8 N6:N8 J6:J8">
    <cfRule type="colorScale" priority="71">
      <colorScale>
        <cfvo type="min"/>
        <cfvo type="percentile" val="50"/>
        <cfvo type="max"/>
        <color rgb="FFF8696B"/>
        <color rgb="FFFCFCFF"/>
        <color rgb="FF63BE7B"/>
      </colorScale>
    </cfRule>
  </conditionalFormatting>
  <conditionalFormatting sqref="Q1:U1">
    <cfRule type="colorScale" priority="129">
      <colorScale>
        <cfvo type="min"/>
        <cfvo type="percentile" val="50"/>
        <cfvo type="max"/>
        <color rgb="FFF8696B"/>
        <color rgb="FFFCFCFF"/>
        <color rgb="FF63BE7B"/>
      </colorScale>
    </cfRule>
  </conditionalFormatting>
  <conditionalFormatting sqref="Q1:V1">
    <cfRule type="colorScale" priority="131">
      <colorScale>
        <cfvo type="min"/>
        <cfvo type="percentile" val="50"/>
        <cfvo type="max"/>
        <color rgb="FFF8696B"/>
        <color rgb="FFFCFCFF"/>
        <color rgb="FF63BE7B"/>
      </colorScale>
    </cfRule>
  </conditionalFormatting>
  <conditionalFormatting sqref="W1">
    <cfRule type="colorScale" priority="229">
      <colorScale>
        <cfvo type="min"/>
        <cfvo type="percentile" val="50"/>
        <cfvo type="max"/>
        <color rgb="FFF8696B"/>
        <color rgb="FFFCFCFF"/>
        <color rgb="FF63BE7B"/>
      </colorScale>
    </cfRule>
  </conditionalFormatting>
  <conditionalFormatting sqref="X1">
    <cfRule type="colorScale" priority="299">
      <colorScale>
        <cfvo type="min"/>
        <cfvo type="percentile" val="50"/>
        <cfvo type="max"/>
        <color rgb="FFF8696B"/>
        <color rgb="FFFCFCFF"/>
        <color rgb="FF63BE7B"/>
      </colorScale>
    </cfRule>
  </conditionalFormatting>
  <conditionalFormatting sqref="Y1:Z1">
    <cfRule type="colorScale" priority="325">
      <colorScale>
        <cfvo type="min"/>
        <cfvo type="percentile" val="50"/>
        <cfvo type="max"/>
        <color rgb="FFF8696B"/>
        <color rgb="FFFCFCFF"/>
        <color rgb="FF63BE7B"/>
      </colorScale>
    </cfRule>
  </conditionalFormatting>
  <conditionalFormatting sqref="Z22:Z25 V22:W25 G25:H25 J25:M25 I22:I25 R20:S21 AA20:AA21 Q18:Q25 Y18:Z19 X15:X25 G17:I17 K17:L17 T15:T19 G11:H11 K11:L11 M9:M21 R13:R17 T9:U14 P9:P25 W1:AA1 W9:W17 I9:I12 G2:N3 P4:U8 N4:N25 J4:J17">
    <cfRule type="colorScale" priority="424">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C8DC-4CF3-467D-8F78-37BF56C97DBB}">
  <sheetPr codeName="Sheet4"/>
  <dimension ref="A1:AG67"/>
  <sheetViews>
    <sheetView topLeftCell="A21" zoomScale="51" zoomScaleNormal="100" workbookViewId="0">
      <selection activeCell="K64" sqref="K64"/>
    </sheetView>
  </sheetViews>
  <sheetFormatPr defaultRowHeight="14.25" x14ac:dyDescent="0.2"/>
  <cols>
    <col min="1" max="1" width="25.375" bestFit="1" customWidth="1"/>
    <col min="2" max="2" width="9.375" bestFit="1" customWidth="1"/>
    <col min="3" max="3" width="10.375" customWidth="1"/>
    <col min="4" max="4" width="17.875" bestFit="1" customWidth="1"/>
    <col min="5" max="6" width="9.375" bestFit="1" customWidth="1"/>
    <col min="7" max="7" width="17.875" bestFit="1" customWidth="1"/>
    <col min="8" max="9" width="9.375" bestFit="1" customWidth="1"/>
    <col min="10" max="10" width="10.25" customWidth="1"/>
    <col min="11" max="11" width="17.875" bestFit="1" customWidth="1"/>
    <col min="12" max="12" width="9.375" bestFit="1" customWidth="1"/>
    <col min="13" max="14" width="17.875" bestFit="1" customWidth="1"/>
    <col min="15" max="15" width="17.375" bestFit="1" customWidth="1"/>
    <col min="16" max="16" width="14.75" customWidth="1"/>
    <col min="17" max="18" width="14.875" customWidth="1"/>
    <col min="19" max="19" width="14.75" customWidth="1"/>
    <col min="20" max="20" width="18.625" bestFit="1" customWidth="1"/>
    <col min="21" max="21" width="17.875" bestFit="1" customWidth="1"/>
    <col min="22" max="22" width="9.75" bestFit="1" customWidth="1"/>
    <col min="23" max="23" width="10" bestFit="1" customWidth="1"/>
    <col min="24" max="24" width="17.875" bestFit="1" customWidth="1"/>
    <col min="25" max="25" width="9.75" bestFit="1" customWidth="1"/>
    <col min="27" max="27" width="17.875" bestFit="1" customWidth="1"/>
    <col min="28" max="28" width="9.75" bestFit="1" customWidth="1"/>
  </cols>
  <sheetData>
    <row r="1" spans="1:23" ht="15" thickBot="1" x14ac:dyDescent="0.25"/>
    <row r="2" spans="1:23" ht="14.25" customHeight="1" x14ac:dyDescent="0.55000000000000004">
      <c r="A2" s="127" t="s">
        <v>201</v>
      </c>
      <c r="B2" s="128"/>
      <c r="C2" s="128"/>
      <c r="D2" s="128"/>
      <c r="E2" s="128"/>
      <c r="F2" s="128"/>
      <c r="G2" s="128"/>
      <c r="H2" s="128"/>
      <c r="I2" s="128"/>
      <c r="J2" s="128"/>
      <c r="K2" s="128"/>
      <c r="L2" s="128"/>
      <c r="M2" s="128"/>
      <c r="N2" s="128"/>
      <c r="O2" s="128"/>
      <c r="P2" s="128"/>
      <c r="Q2" s="128"/>
      <c r="R2" s="128"/>
      <c r="S2" s="128"/>
      <c r="T2" s="128"/>
      <c r="U2" s="129"/>
      <c r="V2" s="21"/>
      <c r="W2" s="21"/>
    </row>
    <row r="3" spans="1:23" ht="14.25" customHeight="1" x14ac:dyDescent="0.55000000000000004">
      <c r="A3" s="130"/>
      <c r="B3" s="131"/>
      <c r="C3" s="131"/>
      <c r="D3" s="131"/>
      <c r="E3" s="131"/>
      <c r="F3" s="131"/>
      <c r="G3" s="131"/>
      <c r="H3" s="131"/>
      <c r="I3" s="131"/>
      <c r="J3" s="131"/>
      <c r="K3" s="131"/>
      <c r="L3" s="131"/>
      <c r="M3" s="131"/>
      <c r="N3" s="131"/>
      <c r="O3" s="131"/>
      <c r="P3" s="131"/>
      <c r="Q3" s="131"/>
      <c r="R3" s="131"/>
      <c r="S3" s="131"/>
      <c r="T3" s="131"/>
      <c r="U3" s="132"/>
      <c r="V3" s="21"/>
      <c r="W3" s="21"/>
    </row>
    <row r="4" spans="1:23" ht="14.25" customHeight="1" x14ac:dyDescent="0.55000000000000004">
      <c r="A4" s="130"/>
      <c r="B4" s="131"/>
      <c r="C4" s="131"/>
      <c r="D4" s="131"/>
      <c r="E4" s="131"/>
      <c r="F4" s="131"/>
      <c r="G4" s="131"/>
      <c r="H4" s="131"/>
      <c r="I4" s="131"/>
      <c r="J4" s="131"/>
      <c r="K4" s="131"/>
      <c r="L4" s="131"/>
      <c r="M4" s="131"/>
      <c r="N4" s="131"/>
      <c r="O4" s="131"/>
      <c r="P4" s="131"/>
      <c r="Q4" s="131"/>
      <c r="R4" s="131"/>
      <c r="S4" s="131"/>
      <c r="T4" s="131"/>
      <c r="U4" s="132"/>
      <c r="V4" s="21"/>
      <c r="W4" s="21"/>
    </row>
    <row r="5" spans="1:23" ht="14.25" customHeight="1" x14ac:dyDescent="0.55000000000000004">
      <c r="A5" s="130"/>
      <c r="B5" s="131"/>
      <c r="C5" s="131"/>
      <c r="D5" s="131"/>
      <c r="E5" s="131"/>
      <c r="F5" s="131"/>
      <c r="G5" s="131"/>
      <c r="H5" s="131"/>
      <c r="I5" s="131"/>
      <c r="J5" s="131"/>
      <c r="K5" s="131"/>
      <c r="L5" s="131"/>
      <c r="M5" s="131"/>
      <c r="N5" s="131"/>
      <c r="O5" s="131"/>
      <c r="P5" s="131"/>
      <c r="Q5" s="131"/>
      <c r="R5" s="131"/>
      <c r="S5" s="131"/>
      <c r="T5" s="131"/>
      <c r="U5" s="132"/>
      <c r="V5" s="21"/>
      <c r="W5" s="21"/>
    </row>
    <row r="6" spans="1:23" ht="35.25" thickBot="1" x14ac:dyDescent="0.6">
      <c r="A6" s="133"/>
      <c r="B6" s="134"/>
      <c r="C6" s="134"/>
      <c r="D6" s="134"/>
      <c r="E6" s="134"/>
      <c r="F6" s="134"/>
      <c r="G6" s="134"/>
      <c r="H6" s="134"/>
      <c r="I6" s="134"/>
      <c r="J6" s="134"/>
      <c r="K6" s="134"/>
      <c r="L6" s="134"/>
      <c r="M6" s="134"/>
      <c r="N6" s="134"/>
      <c r="O6" s="134"/>
      <c r="P6" s="134"/>
      <c r="Q6" s="134"/>
      <c r="R6" s="134"/>
      <c r="S6" s="134"/>
      <c r="T6" s="134"/>
      <c r="U6" s="135"/>
      <c r="V6" s="21"/>
      <c r="W6" s="21"/>
    </row>
    <row r="8" spans="1:23" ht="14.25" customHeight="1" x14ac:dyDescent="0.2">
      <c r="Q8" s="136" t="s">
        <v>495</v>
      </c>
      <c r="R8" s="136"/>
      <c r="S8" s="136"/>
      <c r="T8" s="136"/>
      <c r="U8" s="136"/>
    </row>
    <row r="9" spans="1:23" ht="14.25" customHeight="1" x14ac:dyDescent="0.2">
      <c r="Q9" s="136"/>
      <c r="R9" s="136"/>
      <c r="S9" s="136"/>
      <c r="T9" s="136"/>
      <c r="U9" s="136"/>
    </row>
    <row r="10" spans="1:23" ht="14.25" customHeight="1" x14ac:dyDescent="0.2">
      <c r="Q10" s="136"/>
      <c r="R10" s="136"/>
      <c r="S10" s="136"/>
      <c r="T10" s="136"/>
      <c r="U10" s="136"/>
    </row>
    <row r="11" spans="1:23" ht="14.25" customHeight="1" x14ac:dyDescent="0.2">
      <c r="Q11" s="136"/>
      <c r="R11" s="136"/>
      <c r="S11" s="136"/>
      <c r="T11" s="136"/>
      <c r="U11" s="136"/>
    </row>
    <row r="12" spans="1:23" ht="14.25" customHeight="1" x14ac:dyDescent="0.2">
      <c r="Q12" s="136"/>
      <c r="R12" s="136"/>
      <c r="S12" s="136"/>
      <c r="T12" s="136"/>
      <c r="U12" s="136"/>
    </row>
    <row r="13" spans="1:23" ht="14.25" customHeight="1" x14ac:dyDescent="0.2">
      <c r="Q13" s="136"/>
      <c r="R13" s="136"/>
      <c r="S13" s="136"/>
      <c r="T13" s="136"/>
      <c r="U13" s="136"/>
    </row>
    <row r="14" spans="1:23" x14ac:dyDescent="0.2">
      <c r="Q14" s="136"/>
      <c r="R14" s="136"/>
      <c r="S14" s="136"/>
      <c r="T14" s="136"/>
      <c r="U14" s="136"/>
    </row>
    <row r="15" spans="1:23" x14ac:dyDescent="0.2">
      <c r="Q15" s="136"/>
      <c r="R15" s="136"/>
      <c r="S15" s="136"/>
      <c r="T15" s="136"/>
      <c r="U15" s="136"/>
    </row>
    <row r="16" spans="1:23" x14ac:dyDescent="0.2">
      <c r="Q16" s="136"/>
      <c r="R16" s="136"/>
      <c r="S16" s="136"/>
      <c r="T16" s="136"/>
      <c r="U16" s="136"/>
    </row>
    <row r="17" spans="4:33" x14ac:dyDescent="0.2">
      <c r="Q17" s="136"/>
      <c r="R17" s="136"/>
      <c r="S17" s="136"/>
      <c r="T17" s="136"/>
      <c r="U17" s="136"/>
    </row>
    <row r="18" spans="4:33" ht="26.25" customHeight="1" x14ac:dyDescent="0.35">
      <c r="D18" s="1"/>
      <c r="L18" s="1"/>
      <c r="Q18" s="136"/>
      <c r="R18" s="136"/>
      <c r="S18" s="136"/>
      <c r="T18" s="136"/>
      <c r="U18" s="136"/>
    </row>
    <row r="19" spans="4:33" ht="25.5" x14ac:dyDescent="0.35">
      <c r="G19" s="1"/>
      <c r="J19" s="1"/>
      <c r="Q19" s="136"/>
      <c r="R19" s="136"/>
      <c r="S19" s="136"/>
      <c r="T19" s="136"/>
      <c r="U19" s="136"/>
    </row>
    <row r="20" spans="4:33" ht="25.5" x14ac:dyDescent="0.35">
      <c r="G20" s="1"/>
      <c r="J20" s="1"/>
      <c r="Q20" s="136"/>
      <c r="R20" s="136"/>
      <c r="S20" s="136"/>
      <c r="T20" s="136"/>
      <c r="U20" s="136"/>
    </row>
    <row r="21" spans="4:33" ht="25.5" customHeight="1" x14ac:dyDescent="0.2">
      <c r="D21" s="19"/>
      <c r="Q21" s="136"/>
      <c r="R21" s="136"/>
      <c r="S21" s="136"/>
      <c r="T21" s="136"/>
      <c r="U21" s="136"/>
      <c r="X21" s="5"/>
      <c r="Y21" s="5"/>
      <c r="Z21" s="5"/>
    </row>
    <row r="22" spans="4:33" ht="24" x14ac:dyDescent="0.2">
      <c r="D22" s="19"/>
      <c r="Q22" s="136"/>
      <c r="R22" s="136"/>
      <c r="S22" s="136"/>
      <c r="T22" s="136"/>
      <c r="U22" s="136"/>
      <c r="X22" s="5"/>
      <c r="Y22" s="5"/>
      <c r="Z22" s="5"/>
    </row>
    <row r="23" spans="4:33" ht="24" x14ac:dyDescent="0.25">
      <c r="D23" s="18"/>
      <c r="Q23" s="136"/>
      <c r="R23" s="136"/>
      <c r="S23" s="136"/>
      <c r="T23" s="136"/>
      <c r="U23" s="136"/>
      <c r="X23" s="5"/>
      <c r="Y23" s="5"/>
      <c r="Z23" s="5"/>
    </row>
    <row r="24" spans="4:33" ht="26.1" customHeight="1" x14ac:dyDescent="0.25">
      <c r="D24" s="20"/>
      <c r="Q24" s="136"/>
      <c r="R24" s="136"/>
      <c r="S24" s="136"/>
      <c r="T24" s="136"/>
      <c r="U24" s="136"/>
      <c r="X24" s="5"/>
      <c r="Y24" s="5"/>
      <c r="Z24" s="5"/>
    </row>
    <row r="25" spans="4:33" ht="24" x14ac:dyDescent="0.25">
      <c r="D25" s="20"/>
      <c r="Q25" s="136"/>
      <c r="R25" s="136"/>
      <c r="S25" s="136"/>
      <c r="T25" s="136"/>
      <c r="U25" s="136"/>
      <c r="X25" s="5"/>
      <c r="Y25" s="5"/>
      <c r="Z25" s="5"/>
    </row>
    <row r="26" spans="4:33" ht="24" x14ac:dyDescent="0.2">
      <c r="Q26" s="136"/>
      <c r="R26" s="136"/>
      <c r="S26" s="136"/>
      <c r="T26" s="136"/>
      <c r="U26" s="136"/>
      <c r="X26" s="5"/>
      <c r="Y26" s="5"/>
      <c r="Z26" s="5"/>
      <c r="AA26" s="5"/>
      <c r="AB26" s="5"/>
      <c r="AC26" s="5"/>
      <c r="AD26" s="5"/>
      <c r="AE26" s="5"/>
      <c r="AF26" s="5"/>
      <c r="AG26" s="5"/>
    </row>
    <row r="27" spans="4:33" ht="24" x14ac:dyDescent="0.2">
      <c r="Q27" s="136"/>
      <c r="R27" s="136"/>
      <c r="S27" s="136"/>
      <c r="T27" s="136"/>
      <c r="U27" s="136"/>
      <c r="X27" s="5"/>
      <c r="Y27" s="5"/>
      <c r="Z27" s="5"/>
      <c r="AA27" s="5"/>
      <c r="AB27" s="5"/>
      <c r="AC27" s="5"/>
      <c r="AD27" s="5"/>
      <c r="AE27" s="5"/>
      <c r="AF27" s="5"/>
      <c r="AG27" s="5"/>
    </row>
    <row r="28" spans="4:33" x14ac:dyDescent="0.2">
      <c r="Q28" s="136"/>
      <c r="R28" s="136"/>
      <c r="S28" s="136"/>
      <c r="T28" s="136"/>
      <c r="U28" s="136"/>
    </row>
    <row r="29" spans="4:33" ht="24" x14ac:dyDescent="0.25">
      <c r="Q29" s="136"/>
      <c r="R29" s="136"/>
      <c r="S29" s="136"/>
      <c r="T29" s="136"/>
      <c r="U29" s="136"/>
      <c r="W29" s="6"/>
      <c r="X29" s="7"/>
      <c r="Y29" s="7"/>
      <c r="Z29" s="7"/>
      <c r="AA29" s="7"/>
      <c r="AB29" s="7"/>
      <c r="AC29" s="7"/>
      <c r="AD29" s="7"/>
      <c r="AE29" s="7"/>
      <c r="AF29" s="7"/>
      <c r="AG29" s="7"/>
    </row>
    <row r="30" spans="4:33" x14ac:dyDescent="0.2">
      <c r="Q30" s="136"/>
      <c r="R30" s="136"/>
      <c r="S30" s="136"/>
      <c r="T30" s="136"/>
      <c r="U30" s="136"/>
    </row>
    <row r="31" spans="4:33" x14ac:dyDescent="0.2">
      <c r="Q31" s="136"/>
      <c r="R31" s="136"/>
      <c r="S31" s="136"/>
      <c r="T31" s="136"/>
      <c r="U31" s="136"/>
    </row>
    <row r="32" spans="4:33" ht="24" x14ac:dyDescent="0.2">
      <c r="G32" s="13"/>
      <c r="J32" s="6"/>
      <c r="Q32" s="136"/>
      <c r="R32" s="136"/>
      <c r="S32" s="136"/>
      <c r="T32" s="136"/>
      <c r="U32" s="136"/>
    </row>
    <row r="33" spans="1:31" x14ac:dyDescent="0.2">
      <c r="Q33" s="136"/>
      <c r="R33" s="136"/>
      <c r="S33" s="136"/>
      <c r="T33" s="136"/>
      <c r="U33" s="136"/>
    </row>
    <row r="34" spans="1:31" x14ac:dyDescent="0.2">
      <c r="Q34" s="136"/>
      <c r="R34" s="136"/>
      <c r="S34" s="136"/>
      <c r="T34" s="136"/>
      <c r="U34" s="136"/>
    </row>
    <row r="35" spans="1:31" x14ac:dyDescent="0.2">
      <c r="Q35" s="136"/>
      <c r="R35" s="136"/>
      <c r="S35" s="136"/>
      <c r="T35" s="136"/>
      <c r="U35" s="136"/>
    </row>
    <row r="36" spans="1:31" x14ac:dyDescent="0.2">
      <c r="Q36" s="136"/>
      <c r="R36" s="136"/>
      <c r="S36" s="136"/>
      <c r="T36" s="136"/>
      <c r="U36" s="136"/>
    </row>
    <row r="37" spans="1:31" x14ac:dyDescent="0.2">
      <c r="Q37" s="136"/>
      <c r="R37" s="136"/>
      <c r="S37" s="136"/>
      <c r="T37" s="136"/>
      <c r="U37" s="136"/>
    </row>
    <row r="38" spans="1:31" x14ac:dyDescent="0.2">
      <c r="Q38" s="136"/>
      <c r="R38" s="136"/>
      <c r="S38" s="136"/>
      <c r="T38" s="136"/>
      <c r="U38" s="136"/>
    </row>
    <row r="39" spans="1:31" x14ac:dyDescent="0.2">
      <c r="Q39" s="136"/>
      <c r="R39" s="136"/>
      <c r="S39" s="136"/>
      <c r="T39" s="136"/>
      <c r="U39" s="136"/>
    </row>
    <row r="41" spans="1:31" ht="14.25" customHeight="1" x14ac:dyDescent="0.2">
      <c r="O41" s="5"/>
      <c r="P41" s="5"/>
      <c r="Q41" s="5"/>
      <c r="R41" s="5"/>
      <c r="S41" s="5"/>
      <c r="T41" s="5"/>
      <c r="U41" s="5"/>
      <c r="V41" s="5"/>
      <c r="W41" s="5"/>
    </row>
    <row r="42" spans="1:31" ht="46.5" x14ac:dyDescent="0.4">
      <c r="A42" s="10" t="s">
        <v>159</v>
      </c>
      <c r="B42" s="10" t="s">
        <v>11</v>
      </c>
      <c r="D42" s="10" t="s">
        <v>159</v>
      </c>
      <c r="E42" s="10" t="s">
        <v>47</v>
      </c>
      <c r="G42" s="10" t="s">
        <v>159</v>
      </c>
      <c r="H42" s="10" t="s">
        <v>163</v>
      </c>
      <c r="I42" s="10" t="s">
        <v>164</v>
      </c>
      <c r="K42" s="10" t="s">
        <v>159</v>
      </c>
      <c r="L42" s="10" t="s">
        <v>12</v>
      </c>
      <c r="N42" s="137" t="s">
        <v>175</v>
      </c>
      <c r="O42" s="138"/>
      <c r="P42" s="138"/>
      <c r="Q42" s="138"/>
      <c r="R42" s="138"/>
      <c r="S42" s="138"/>
      <c r="T42" s="138"/>
      <c r="U42" s="138"/>
      <c r="V42" s="138"/>
      <c r="W42" s="138"/>
      <c r="X42" s="138"/>
      <c r="Y42" s="138"/>
      <c r="Z42" s="138"/>
      <c r="AA42" s="138"/>
      <c r="AB42" s="138"/>
      <c r="AC42" s="138"/>
      <c r="AD42" s="138"/>
      <c r="AE42" s="139"/>
    </row>
    <row r="43" spans="1:31" ht="26.25" x14ac:dyDescent="0.4">
      <c r="A43" s="2" t="s">
        <v>178</v>
      </c>
      <c r="B43" s="4">
        <v>0.15</v>
      </c>
      <c r="D43" s="2" t="s">
        <v>157</v>
      </c>
      <c r="E43" s="4">
        <v>0.2</v>
      </c>
      <c r="G43" s="2" t="s">
        <v>98</v>
      </c>
      <c r="H43" s="3">
        <v>0.1</v>
      </c>
      <c r="I43" s="3">
        <v>0.1</v>
      </c>
      <c r="K43" s="2" t="s">
        <v>98</v>
      </c>
      <c r="L43" s="3">
        <v>0.15</v>
      </c>
      <c r="N43" s="76"/>
      <c r="V43" s="125"/>
      <c r="W43" s="5"/>
      <c r="AE43" s="77"/>
    </row>
    <row r="44" spans="1:31" ht="26.25" x14ac:dyDescent="0.4">
      <c r="A44" s="2" t="s">
        <v>179</v>
      </c>
      <c r="B44" s="4">
        <v>0.1</v>
      </c>
      <c r="D44" s="2" t="s">
        <v>98</v>
      </c>
      <c r="E44" s="4">
        <v>0.15</v>
      </c>
      <c r="G44" s="2" t="s">
        <v>9</v>
      </c>
      <c r="H44" s="3">
        <v>0.1</v>
      </c>
      <c r="I44" s="3">
        <v>0.1</v>
      </c>
      <c r="K44" s="2" t="s">
        <v>173</v>
      </c>
      <c r="L44" s="3">
        <v>0.1</v>
      </c>
      <c r="N44" s="119" t="s">
        <v>196</v>
      </c>
      <c r="O44" s="120"/>
      <c r="P44" s="120"/>
      <c r="Q44" s="120"/>
      <c r="R44" s="120"/>
      <c r="S44" s="120"/>
      <c r="T44" s="120"/>
      <c r="U44" s="120"/>
      <c r="V44" s="125"/>
      <c r="AE44" s="77"/>
    </row>
    <row r="45" spans="1:31" ht="26.25" x14ac:dyDescent="0.4">
      <c r="A45" s="2" t="s">
        <v>157</v>
      </c>
      <c r="B45" s="4">
        <v>0.1</v>
      </c>
      <c r="D45" s="2" t="s">
        <v>173</v>
      </c>
      <c r="E45" s="4">
        <v>0.05</v>
      </c>
      <c r="G45" s="2" t="s">
        <v>93</v>
      </c>
      <c r="H45" s="3">
        <v>0.1</v>
      </c>
      <c r="I45" s="3">
        <v>0.1</v>
      </c>
      <c r="K45" s="2" t="s">
        <v>9</v>
      </c>
      <c r="L45" s="3">
        <v>0.15</v>
      </c>
      <c r="N45" s="119"/>
      <c r="O45" s="120"/>
      <c r="P45" s="120"/>
      <c r="Q45" s="120"/>
      <c r="R45" s="120"/>
      <c r="S45" s="120"/>
      <c r="T45" s="120"/>
      <c r="U45" s="120"/>
      <c r="V45" s="125"/>
      <c r="W45" s="123" t="s">
        <v>184</v>
      </c>
      <c r="X45" s="123"/>
      <c r="Y45" s="123"/>
      <c r="Z45" s="123"/>
      <c r="AA45" s="123"/>
      <c r="AB45" s="123"/>
      <c r="AC45" s="123"/>
      <c r="AD45" s="123"/>
      <c r="AE45" s="124"/>
    </row>
    <row r="46" spans="1:31" ht="26.25" x14ac:dyDescent="0.4">
      <c r="A46" s="2" t="s">
        <v>98</v>
      </c>
      <c r="B46" s="4">
        <v>0.1</v>
      </c>
      <c r="D46" s="2" t="s">
        <v>9</v>
      </c>
      <c r="E46" s="4">
        <v>0.1</v>
      </c>
      <c r="G46" s="2" t="s">
        <v>4</v>
      </c>
      <c r="H46" s="3">
        <v>0.1</v>
      </c>
      <c r="I46" s="3">
        <v>0.1</v>
      </c>
      <c r="K46" s="2" t="s">
        <v>93</v>
      </c>
      <c r="L46" s="3">
        <v>0.15</v>
      </c>
      <c r="N46" s="119"/>
      <c r="O46" s="120"/>
      <c r="P46" s="120"/>
      <c r="Q46" s="120"/>
      <c r="R46" s="120"/>
      <c r="S46" s="120"/>
      <c r="T46" s="120"/>
      <c r="U46" s="120"/>
      <c r="V46" s="125"/>
      <c r="W46" s="123"/>
      <c r="X46" s="123"/>
      <c r="Y46" s="123"/>
      <c r="Z46" s="123"/>
      <c r="AA46" s="123"/>
      <c r="AB46" s="123"/>
      <c r="AC46" s="123"/>
      <c r="AD46" s="123"/>
      <c r="AE46" s="124"/>
    </row>
    <row r="47" spans="1:31" ht="26.25" x14ac:dyDescent="0.4">
      <c r="A47" s="2" t="s">
        <v>180</v>
      </c>
      <c r="B47" s="4">
        <v>0.1</v>
      </c>
      <c r="D47" s="2" t="s">
        <v>93</v>
      </c>
      <c r="E47" s="4">
        <v>0.05</v>
      </c>
      <c r="G47" s="2" t="s">
        <v>6</v>
      </c>
      <c r="H47" s="3">
        <v>0.15</v>
      </c>
      <c r="I47" s="3">
        <v>0.15</v>
      </c>
      <c r="K47" s="2" t="s">
        <v>6</v>
      </c>
      <c r="L47" s="3">
        <v>0.1</v>
      </c>
      <c r="N47" s="119"/>
      <c r="O47" s="120"/>
      <c r="P47" s="120"/>
      <c r="Q47" s="120"/>
      <c r="R47" s="120"/>
      <c r="S47" s="120"/>
      <c r="T47" s="120"/>
      <c r="U47" s="120"/>
      <c r="V47" s="125"/>
      <c r="W47" s="123"/>
      <c r="X47" s="123"/>
      <c r="Y47" s="123"/>
      <c r="Z47" s="123"/>
      <c r="AA47" s="123"/>
      <c r="AB47" s="123"/>
      <c r="AC47" s="123"/>
      <c r="AD47" s="123"/>
      <c r="AE47" s="124"/>
    </row>
    <row r="48" spans="1:31" ht="31.5" customHeight="1" x14ac:dyDescent="0.4">
      <c r="A48" s="2" t="s">
        <v>181</v>
      </c>
      <c r="B48" s="4">
        <v>0.15</v>
      </c>
      <c r="D48" s="2" t="s">
        <v>8</v>
      </c>
      <c r="E48" s="4">
        <v>0.15</v>
      </c>
      <c r="G48" s="2" t="s">
        <v>174</v>
      </c>
      <c r="H48" s="3">
        <v>0.15</v>
      </c>
      <c r="I48" s="3">
        <v>0.15</v>
      </c>
      <c r="K48" s="2" t="s">
        <v>8</v>
      </c>
      <c r="L48" s="3">
        <v>0.2</v>
      </c>
      <c r="N48" s="119"/>
      <c r="O48" s="120"/>
      <c r="P48" s="120"/>
      <c r="Q48" s="120"/>
      <c r="R48" s="120"/>
      <c r="S48" s="120"/>
      <c r="T48" s="120"/>
      <c r="U48" s="120"/>
      <c r="V48" s="125"/>
      <c r="W48" s="123"/>
      <c r="X48" s="123"/>
      <c r="Y48" s="123"/>
      <c r="Z48" s="123"/>
      <c r="AA48" s="123"/>
      <c r="AB48" s="123"/>
      <c r="AC48" s="123"/>
      <c r="AD48" s="123"/>
      <c r="AE48" s="124"/>
    </row>
    <row r="49" spans="1:31" ht="26.25" x14ac:dyDescent="0.4">
      <c r="A49" s="2" t="s">
        <v>173</v>
      </c>
      <c r="B49" s="4">
        <v>0.1</v>
      </c>
      <c r="D49" s="2" t="s">
        <v>10</v>
      </c>
      <c r="E49" s="4">
        <v>0.1</v>
      </c>
      <c r="G49" s="2" t="s">
        <v>8</v>
      </c>
      <c r="H49" s="3">
        <v>0.15</v>
      </c>
      <c r="I49" s="3">
        <v>0.15</v>
      </c>
      <c r="K49" s="2" t="s">
        <v>10</v>
      </c>
      <c r="L49" s="3">
        <v>0.05</v>
      </c>
      <c r="N49" s="119"/>
      <c r="O49" s="120"/>
      <c r="P49" s="120"/>
      <c r="Q49" s="120"/>
      <c r="R49" s="120"/>
      <c r="S49" s="120"/>
      <c r="T49" s="120"/>
      <c r="U49" s="120"/>
      <c r="V49" s="125"/>
      <c r="AE49" s="77"/>
    </row>
    <row r="50" spans="1:31" ht="26.25" x14ac:dyDescent="0.4">
      <c r="A50" s="2" t="s">
        <v>9</v>
      </c>
      <c r="B50" s="4">
        <v>0.1</v>
      </c>
      <c r="D50" s="2" t="s">
        <v>101</v>
      </c>
      <c r="E50" s="4">
        <v>0.2</v>
      </c>
      <c r="G50" s="2" t="s">
        <v>10</v>
      </c>
      <c r="H50" s="3">
        <v>0.1</v>
      </c>
      <c r="I50" s="3">
        <v>0.1</v>
      </c>
      <c r="K50" s="2" t="s">
        <v>101</v>
      </c>
      <c r="L50" s="3">
        <v>0.1</v>
      </c>
      <c r="N50" s="78"/>
      <c r="O50" s="5"/>
      <c r="P50" s="5"/>
      <c r="Q50" s="5"/>
      <c r="R50" s="5"/>
      <c r="S50" s="5"/>
      <c r="T50" s="5"/>
      <c r="U50" s="5"/>
      <c r="V50" s="125"/>
      <c r="AE50" s="77"/>
    </row>
    <row r="51" spans="1:31" ht="26.25" x14ac:dyDescent="0.4">
      <c r="A51" s="2" t="s">
        <v>182</v>
      </c>
      <c r="B51" s="4">
        <v>0.05</v>
      </c>
      <c r="D51" s="2" t="s">
        <v>160</v>
      </c>
      <c r="E51" s="3">
        <f>SUM(E43:E50)</f>
        <v>1</v>
      </c>
      <c r="G51" s="2" t="s">
        <v>155</v>
      </c>
      <c r="H51" s="3">
        <v>0.05</v>
      </c>
      <c r="I51" s="3">
        <v>0.05</v>
      </c>
      <c r="K51" s="2" t="s">
        <v>160</v>
      </c>
      <c r="L51" s="4">
        <f>SUM(L43:L50)</f>
        <v>1.0000000000000002</v>
      </c>
      <c r="N51" s="119" t="s">
        <v>496</v>
      </c>
      <c r="O51" s="120"/>
      <c r="P51" s="120"/>
      <c r="Q51" s="120"/>
      <c r="R51" s="120"/>
      <c r="S51" s="120"/>
      <c r="T51" s="120"/>
      <c r="U51" s="120"/>
      <c r="V51" s="125"/>
      <c r="AE51" s="77"/>
    </row>
    <row r="52" spans="1:31" ht="26.25" x14ac:dyDescent="0.4">
      <c r="A52" s="2" t="s">
        <v>93</v>
      </c>
      <c r="B52" s="4">
        <v>0.05</v>
      </c>
      <c r="G52" s="2" t="s">
        <v>160</v>
      </c>
      <c r="H52" s="4">
        <f>SUM(H43:H51)</f>
        <v>1</v>
      </c>
      <c r="I52" s="4">
        <f>SUM(I43:I51)</f>
        <v>1</v>
      </c>
      <c r="N52" s="119"/>
      <c r="O52" s="120"/>
      <c r="P52" s="120"/>
      <c r="Q52" s="120"/>
      <c r="R52" s="120"/>
      <c r="S52" s="120"/>
      <c r="T52" s="120"/>
      <c r="U52" s="120"/>
      <c r="V52" s="125"/>
      <c r="AE52" s="77"/>
    </row>
    <row r="53" spans="1:31" ht="26.25" x14ac:dyDescent="0.4">
      <c r="A53" s="2" t="s">
        <v>160</v>
      </c>
      <c r="B53" s="3">
        <f>SUM(B43:B52)</f>
        <v>1</v>
      </c>
      <c r="N53" s="119"/>
      <c r="O53" s="120"/>
      <c r="P53" s="120"/>
      <c r="Q53" s="120"/>
      <c r="R53" s="120"/>
      <c r="S53" s="120"/>
      <c r="T53" s="120"/>
      <c r="U53" s="120"/>
      <c r="V53" s="125"/>
      <c r="W53" s="123" t="s">
        <v>183</v>
      </c>
      <c r="X53" s="123"/>
      <c r="Y53" s="123"/>
      <c r="Z53" s="123"/>
      <c r="AA53" s="123"/>
      <c r="AB53" s="123"/>
      <c r="AC53" s="123"/>
      <c r="AD53" s="123"/>
      <c r="AE53" s="124"/>
    </row>
    <row r="54" spans="1:31" ht="26.25" customHeight="1" x14ac:dyDescent="0.2">
      <c r="N54" s="119"/>
      <c r="O54" s="120"/>
      <c r="P54" s="120"/>
      <c r="Q54" s="120"/>
      <c r="R54" s="120"/>
      <c r="S54" s="120"/>
      <c r="T54" s="120"/>
      <c r="U54" s="120"/>
      <c r="V54" s="125"/>
      <c r="W54" s="123"/>
      <c r="X54" s="123"/>
      <c r="Y54" s="123"/>
      <c r="Z54" s="123"/>
      <c r="AA54" s="123"/>
      <c r="AB54" s="123"/>
      <c r="AC54" s="123"/>
      <c r="AD54" s="123"/>
      <c r="AE54" s="124"/>
    </row>
    <row r="55" spans="1:31" ht="26.25" x14ac:dyDescent="0.4">
      <c r="A55" s="10" t="s">
        <v>159</v>
      </c>
      <c r="B55" s="10" t="s">
        <v>110</v>
      </c>
      <c r="C55" s="1"/>
      <c r="D55" s="10" t="s">
        <v>159</v>
      </c>
      <c r="E55" s="10" t="s">
        <v>167</v>
      </c>
      <c r="F55" s="1"/>
      <c r="G55" s="10" t="s">
        <v>159</v>
      </c>
      <c r="H55" s="10" t="s">
        <v>166</v>
      </c>
      <c r="I55" s="10" t="s">
        <v>165</v>
      </c>
      <c r="K55" s="10" t="s">
        <v>159</v>
      </c>
      <c r="L55" s="10" t="s">
        <v>13</v>
      </c>
      <c r="N55" s="119"/>
      <c r="O55" s="120"/>
      <c r="P55" s="120"/>
      <c r="Q55" s="120"/>
      <c r="R55" s="120"/>
      <c r="S55" s="120"/>
      <c r="T55" s="120"/>
      <c r="U55" s="120"/>
      <c r="V55" s="125"/>
      <c r="W55" s="123"/>
      <c r="X55" s="123"/>
      <c r="Y55" s="123"/>
      <c r="Z55" s="123"/>
      <c r="AA55" s="123"/>
      <c r="AB55" s="123"/>
      <c r="AC55" s="123"/>
      <c r="AD55" s="123"/>
      <c r="AE55" s="124"/>
    </row>
    <row r="56" spans="1:31" ht="26.25" x14ac:dyDescent="0.4">
      <c r="A56" s="2" t="s">
        <v>98</v>
      </c>
      <c r="B56" s="3">
        <v>0.1</v>
      </c>
      <c r="C56" s="1"/>
      <c r="D56" s="2" t="s">
        <v>173</v>
      </c>
      <c r="E56" s="4">
        <v>0.1</v>
      </c>
      <c r="F56" s="1"/>
      <c r="G56" s="2" t="s">
        <v>173</v>
      </c>
      <c r="H56" s="3">
        <v>0.1</v>
      </c>
      <c r="I56" s="3">
        <v>0.1</v>
      </c>
      <c r="K56" s="2" t="s">
        <v>157</v>
      </c>
      <c r="L56" s="3">
        <v>0.25</v>
      </c>
      <c r="N56" s="119"/>
      <c r="O56" s="120"/>
      <c r="P56" s="120"/>
      <c r="Q56" s="120"/>
      <c r="R56" s="120"/>
      <c r="S56" s="120"/>
      <c r="T56" s="120"/>
      <c r="U56" s="120"/>
      <c r="V56" s="125"/>
      <c r="W56" s="123"/>
      <c r="X56" s="123"/>
      <c r="Y56" s="123"/>
      <c r="Z56" s="123"/>
      <c r="AA56" s="123"/>
      <c r="AB56" s="123"/>
      <c r="AC56" s="123"/>
      <c r="AD56" s="123"/>
      <c r="AE56" s="124"/>
    </row>
    <row r="57" spans="1:31" ht="26.25" x14ac:dyDescent="0.4">
      <c r="A57" s="2" t="s">
        <v>173</v>
      </c>
      <c r="B57" s="3">
        <v>0.1</v>
      </c>
      <c r="C57" s="1"/>
      <c r="D57" s="2" t="s">
        <v>9</v>
      </c>
      <c r="E57" s="4">
        <v>0.15</v>
      </c>
      <c r="F57" s="1"/>
      <c r="G57" s="2" t="s">
        <v>9</v>
      </c>
      <c r="H57" s="3">
        <v>0.1</v>
      </c>
      <c r="I57" s="3">
        <v>0.1</v>
      </c>
      <c r="K57" s="2" t="s">
        <v>9</v>
      </c>
      <c r="L57" s="3">
        <v>0.05</v>
      </c>
      <c r="N57" s="119"/>
      <c r="O57" s="120"/>
      <c r="P57" s="120"/>
      <c r="Q57" s="120"/>
      <c r="R57" s="120"/>
      <c r="S57" s="120"/>
      <c r="T57" s="120"/>
      <c r="U57" s="120"/>
      <c r="V57" s="125"/>
      <c r="AE57" s="77"/>
    </row>
    <row r="58" spans="1:31" ht="26.25" x14ac:dyDescent="0.4">
      <c r="A58" s="2" t="s">
        <v>9</v>
      </c>
      <c r="B58" s="3">
        <v>0.15</v>
      </c>
      <c r="C58" s="1"/>
      <c r="D58" s="2" t="s">
        <v>93</v>
      </c>
      <c r="E58" s="4">
        <v>0.1</v>
      </c>
      <c r="F58" s="1"/>
      <c r="G58" s="2" t="s">
        <v>93</v>
      </c>
      <c r="H58" s="3">
        <v>0.05</v>
      </c>
      <c r="I58" s="3">
        <v>0.05</v>
      </c>
      <c r="K58" s="2" t="s">
        <v>93</v>
      </c>
      <c r="L58" s="3">
        <v>0.05</v>
      </c>
      <c r="N58" s="121"/>
      <c r="O58" s="122"/>
      <c r="P58" s="122"/>
      <c r="Q58" s="122"/>
      <c r="R58" s="122"/>
      <c r="S58" s="122"/>
      <c r="T58" s="122"/>
      <c r="U58" s="122"/>
      <c r="V58" s="126"/>
      <c r="W58" s="79"/>
      <c r="X58" s="79"/>
      <c r="Y58" s="79"/>
      <c r="Z58" s="79"/>
      <c r="AA58" s="79"/>
      <c r="AB58" s="79"/>
      <c r="AC58" s="79"/>
      <c r="AD58" s="79"/>
      <c r="AE58" s="80"/>
    </row>
    <row r="59" spans="1:31" ht="26.25" x14ac:dyDescent="0.4">
      <c r="A59" s="2" t="s">
        <v>93</v>
      </c>
      <c r="B59" s="3">
        <v>0.15</v>
      </c>
      <c r="C59" s="1"/>
      <c r="D59" s="2" t="s">
        <v>4</v>
      </c>
      <c r="E59" s="4">
        <v>0.1</v>
      </c>
      <c r="F59" s="1"/>
      <c r="G59" s="2" t="s">
        <v>4</v>
      </c>
      <c r="H59" s="3">
        <v>0.2</v>
      </c>
      <c r="I59" s="3">
        <v>0.2</v>
      </c>
      <c r="K59" s="2" t="s">
        <v>4</v>
      </c>
      <c r="L59" s="3">
        <v>0.1</v>
      </c>
    </row>
    <row r="60" spans="1:31" ht="26.25" customHeight="1" x14ac:dyDescent="0.4">
      <c r="A60" s="2" t="s">
        <v>6</v>
      </c>
      <c r="B60" s="3">
        <v>0.15</v>
      </c>
      <c r="C60" s="1"/>
      <c r="D60" s="2" t="s">
        <v>6</v>
      </c>
      <c r="E60" s="4">
        <v>0.05</v>
      </c>
      <c r="F60" s="1"/>
      <c r="G60" s="2" t="s">
        <v>6</v>
      </c>
      <c r="H60" s="3">
        <v>0.1</v>
      </c>
      <c r="I60" s="3">
        <v>0.1</v>
      </c>
      <c r="K60" s="2" t="s">
        <v>155</v>
      </c>
      <c r="L60" s="3">
        <v>0.05</v>
      </c>
    </row>
    <row r="61" spans="1:31" ht="26.25" customHeight="1" x14ac:dyDescent="0.5">
      <c r="A61" s="2" t="s">
        <v>8</v>
      </c>
      <c r="B61" s="3">
        <v>0.15</v>
      </c>
      <c r="C61" s="1"/>
      <c r="D61" s="2" t="s">
        <v>8</v>
      </c>
      <c r="E61" s="4">
        <v>0.15</v>
      </c>
      <c r="F61" s="1"/>
      <c r="G61" s="2" t="s">
        <v>174</v>
      </c>
      <c r="H61" s="3">
        <v>0.2</v>
      </c>
      <c r="I61" s="3">
        <v>0.2</v>
      </c>
      <c r="K61" s="2" t="s">
        <v>101</v>
      </c>
      <c r="L61" s="3">
        <v>0.2</v>
      </c>
      <c r="O61" s="75"/>
      <c r="P61" s="75"/>
      <c r="Q61" s="75"/>
      <c r="R61" s="75"/>
      <c r="S61" s="75"/>
      <c r="T61" s="75"/>
      <c r="U61" s="75"/>
      <c r="V61" s="75"/>
      <c r="W61" s="75"/>
    </row>
    <row r="62" spans="1:31" ht="26.25" customHeight="1" x14ac:dyDescent="0.5">
      <c r="A62" s="2" t="s">
        <v>155</v>
      </c>
      <c r="B62" s="3">
        <v>0.05</v>
      </c>
      <c r="D62" s="2" t="s">
        <v>156</v>
      </c>
      <c r="E62" s="4">
        <v>0.15</v>
      </c>
      <c r="G62" s="2" t="s">
        <v>156</v>
      </c>
      <c r="H62" s="3">
        <v>0.15</v>
      </c>
      <c r="I62" s="3">
        <v>0.15</v>
      </c>
      <c r="K62" s="2" t="s">
        <v>156</v>
      </c>
      <c r="L62" s="3">
        <v>0.15</v>
      </c>
      <c r="N62" s="75"/>
      <c r="O62" s="75"/>
      <c r="P62" s="75"/>
      <c r="Q62" s="75"/>
      <c r="R62" s="75"/>
      <c r="S62" s="75"/>
      <c r="T62" s="75"/>
      <c r="U62" s="75"/>
      <c r="V62" s="75"/>
      <c r="W62" s="75"/>
    </row>
    <row r="63" spans="1:31" ht="26.25" customHeight="1" x14ac:dyDescent="0.5">
      <c r="A63" s="2" t="s">
        <v>101</v>
      </c>
      <c r="B63" s="3">
        <v>0.05</v>
      </c>
      <c r="C63" s="13"/>
      <c r="D63" s="2" t="s">
        <v>176</v>
      </c>
      <c r="E63" s="4">
        <v>0.15</v>
      </c>
      <c r="F63" s="6"/>
      <c r="G63" s="2" t="s">
        <v>97</v>
      </c>
      <c r="H63" s="3">
        <v>0.1</v>
      </c>
      <c r="I63" s="3">
        <v>0.1</v>
      </c>
      <c r="K63" s="2" t="s">
        <v>177</v>
      </c>
      <c r="L63" s="3">
        <v>0.15</v>
      </c>
      <c r="N63" s="75"/>
      <c r="O63" s="75"/>
      <c r="P63" s="75"/>
      <c r="Q63" s="75"/>
      <c r="R63" s="75"/>
      <c r="S63" s="75"/>
      <c r="T63" s="75"/>
      <c r="U63" s="75"/>
      <c r="V63" s="75"/>
      <c r="W63" s="75"/>
    </row>
    <row r="64" spans="1:31" ht="26.25" customHeight="1" x14ac:dyDescent="0.5">
      <c r="A64" s="2" t="s">
        <v>156</v>
      </c>
      <c r="B64" s="3">
        <v>0.1</v>
      </c>
      <c r="C64" s="13"/>
      <c r="D64" s="2" t="s">
        <v>177</v>
      </c>
      <c r="E64" s="4">
        <v>0.05</v>
      </c>
      <c r="F64" s="6"/>
      <c r="G64" s="2" t="s">
        <v>160</v>
      </c>
      <c r="H64" s="4">
        <f>SUM(H56:H63)</f>
        <v>1</v>
      </c>
      <c r="I64" s="4">
        <f>SUM(I56:I63)</f>
        <v>1</v>
      </c>
      <c r="K64" s="2" t="s">
        <v>160</v>
      </c>
      <c r="L64" s="4">
        <f>SUM(L56:L63)</f>
        <v>1</v>
      </c>
      <c r="N64" s="75"/>
      <c r="O64" s="75"/>
      <c r="P64" s="75"/>
      <c r="Q64" s="75"/>
      <c r="R64" s="75"/>
      <c r="S64" s="75"/>
      <c r="T64" s="75"/>
      <c r="U64" s="75"/>
      <c r="V64" s="75"/>
      <c r="W64" s="75"/>
    </row>
    <row r="65" spans="1:23" ht="26.25" customHeight="1" x14ac:dyDescent="0.5">
      <c r="A65" s="2" t="s">
        <v>160</v>
      </c>
      <c r="B65" s="4">
        <f>SUM(B56:B64)</f>
        <v>1.0000000000000002</v>
      </c>
      <c r="C65" s="13"/>
      <c r="D65" s="2" t="s">
        <v>160</v>
      </c>
      <c r="E65" s="4">
        <f>SUM(E56:E64)</f>
        <v>1</v>
      </c>
      <c r="F65" s="6"/>
      <c r="I65" s="6"/>
      <c r="N65" s="75"/>
      <c r="O65" s="75"/>
      <c r="P65" s="75"/>
      <c r="Q65" s="75"/>
      <c r="R65" s="75"/>
      <c r="S65" s="75"/>
      <c r="T65" s="75"/>
      <c r="U65" s="75"/>
      <c r="V65" s="75"/>
      <c r="W65" s="75"/>
    </row>
    <row r="66" spans="1:23" ht="26.25" customHeight="1" x14ac:dyDescent="0.5">
      <c r="N66" s="75"/>
      <c r="O66" s="75"/>
      <c r="P66" s="75"/>
      <c r="Q66" s="75"/>
      <c r="R66" s="75"/>
      <c r="S66" s="75"/>
      <c r="T66" s="75"/>
      <c r="U66" s="75"/>
      <c r="V66" s="75"/>
      <c r="W66" s="75"/>
    </row>
    <row r="67" spans="1:23" ht="31.5" x14ac:dyDescent="0.5">
      <c r="N67" s="75"/>
      <c r="O67" s="75"/>
      <c r="P67" s="75"/>
      <c r="Q67" s="75"/>
      <c r="R67" s="75"/>
      <c r="S67" s="75"/>
      <c r="T67" s="75"/>
      <c r="U67" s="75"/>
      <c r="V67" s="75"/>
      <c r="W67" s="75"/>
    </row>
  </sheetData>
  <mergeCells count="8">
    <mergeCell ref="N51:U58"/>
    <mergeCell ref="W53:AE56"/>
    <mergeCell ref="V43:V58"/>
    <mergeCell ref="A2:U6"/>
    <mergeCell ref="Q8:U39"/>
    <mergeCell ref="N44:U49"/>
    <mergeCell ref="W45:AE48"/>
    <mergeCell ref="N42:AE42"/>
  </mergeCells>
  <conditionalFormatting sqref="A42:B52">
    <cfRule type="dataBar" priority="46">
      <dataBar>
        <cfvo type="min"/>
        <cfvo type="max"/>
        <color rgb="FFFFB628"/>
      </dataBar>
      <extLst>
        <ext xmlns:x14="http://schemas.microsoft.com/office/spreadsheetml/2009/9/main" uri="{B025F937-C7B1-47D3-B67F-A62EFF666E3E}">
          <x14:id>{FDEAC173-8996-4C83-AE52-FC5FE39FC448}</x14:id>
        </ext>
      </extLst>
    </cfRule>
  </conditionalFormatting>
  <conditionalFormatting sqref="A2:U6">
    <cfRule type="containsText" dxfId="34" priority="6" operator="containsText" text="Playstyle">
      <formula>NOT(ISERROR(SEARCH("Playstyle",A2)))</formula>
    </cfRule>
  </conditionalFormatting>
  <conditionalFormatting sqref="B43:B52">
    <cfRule type="dataBar" priority="8">
      <dataBar>
        <cfvo type="min"/>
        <cfvo type="max"/>
        <color rgb="FFFFB628"/>
      </dataBar>
      <extLst>
        <ext xmlns:x14="http://schemas.microsoft.com/office/spreadsheetml/2009/9/main" uri="{B025F937-C7B1-47D3-B67F-A62EFF666E3E}">
          <x14:id>{D2183622-43FA-4E6D-A49B-C7B9CF254119}</x14:id>
        </ext>
      </extLst>
    </cfRule>
  </conditionalFormatting>
  <conditionalFormatting sqref="D48">
    <cfRule type="dataBar" priority="3">
      <dataBar>
        <cfvo type="min"/>
        <cfvo type="max"/>
        <color rgb="FFFFB628"/>
      </dataBar>
      <extLst>
        <ext xmlns:x14="http://schemas.microsoft.com/office/spreadsheetml/2009/9/main" uri="{B025F937-C7B1-47D3-B67F-A62EFF666E3E}">
          <x14:id>{6549801A-A65C-44EF-AC08-28974559D7A9}</x14:id>
        </ext>
      </extLst>
    </cfRule>
  </conditionalFormatting>
  <conditionalFormatting sqref="D50">
    <cfRule type="dataBar" priority="5">
      <dataBar>
        <cfvo type="min"/>
        <cfvo type="max"/>
        <color rgb="FFFFB628"/>
      </dataBar>
      <extLst>
        <ext xmlns:x14="http://schemas.microsoft.com/office/spreadsheetml/2009/9/main" uri="{B025F937-C7B1-47D3-B67F-A62EFF666E3E}">
          <x14:id>{C3AB4171-2AD8-4F74-A23E-A871CB523A66}</x14:id>
        </ext>
      </extLst>
    </cfRule>
  </conditionalFormatting>
  <conditionalFormatting sqref="D42:E42 D49 D43:D47">
    <cfRule type="dataBar" priority="44">
      <dataBar>
        <cfvo type="min"/>
        <cfvo type="max"/>
        <color rgb="FFFFB628"/>
      </dataBar>
      <extLst>
        <ext xmlns:x14="http://schemas.microsoft.com/office/spreadsheetml/2009/9/main" uri="{B025F937-C7B1-47D3-B67F-A62EFF666E3E}">
          <x14:id>{D133633A-EDA7-4B9B-B3F8-A3BCC875A36D}</x14:id>
        </ext>
      </extLst>
    </cfRule>
  </conditionalFormatting>
  <conditionalFormatting sqref="E43:E50">
    <cfRule type="dataBar" priority="1">
      <dataBar>
        <cfvo type="min"/>
        <cfvo type="max"/>
        <color rgb="FFFFB628"/>
      </dataBar>
      <extLst>
        <ext xmlns:x14="http://schemas.microsoft.com/office/spreadsheetml/2009/9/main" uri="{B025F937-C7B1-47D3-B67F-A62EFF666E3E}">
          <x14:id>{E1AA0E55-8185-4DA0-A151-6BF106590DBE}</x14:id>
        </ext>
      </extLst>
    </cfRule>
  </conditionalFormatting>
  <conditionalFormatting sqref="L56:L63 H56:I63 H43:I51 L43:L50 E56:E64 B56:B64">
    <cfRule type="dataBar" priority="47">
      <dataBar>
        <cfvo type="min"/>
        <cfvo type="max"/>
        <color rgb="FFFFB628"/>
      </dataBar>
      <extLst>
        <ext xmlns:x14="http://schemas.microsoft.com/office/spreadsheetml/2009/9/main" uri="{B025F937-C7B1-47D3-B67F-A62EFF666E3E}">
          <x14:id>{ED6EE43F-60D0-49E3-8C7E-7122C3FA070B}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DEAC173-8996-4C83-AE52-FC5FE39FC448}">
            <x14:dataBar minLength="0" maxLength="100" gradient="0">
              <x14:cfvo type="autoMin"/>
              <x14:cfvo type="autoMax"/>
              <x14:negativeFillColor rgb="FFFF0000"/>
              <x14:axisColor rgb="FF000000"/>
            </x14:dataBar>
          </x14:cfRule>
          <xm:sqref>A42:B52</xm:sqref>
        </x14:conditionalFormatting>
        <x14:conditionalFormatting xmlns:xm="http://schemas.microsoft.com/office/excel/2006/main">
          <x14:cfRule type="dataBar" id="{D2183622-43FA-4E6D-A49B-C7B9CF254119}">
            <x14:dataBar minLength="0" maxLength="100" border="1" negativeBarBorderColorSameAsPositive="0">
              <x14:cfvo type="autoMin"/>
              <x14:cfvo type="autoMax"/>
              <x14:borderColor rgb="FFFFB628"/>
              <x14:negativeFillColor rgb="FFFF0000"/>
              <x14:negativeBorderColor rgb="FFFF0000"/>
              <x14:axisColor rgb="FF000000"/>
            </x14:dataBar>
          </x14:cfRule>
          <xm:sqref>B43:B52</xm:sqref>
        </x14:conditionalFormatting>
        <x14:conditionalFormatting xmlns:xm="http://schemas.microsoft.com/office/excel/2006/main">
          <x14:cfRule type="dataBar" id="{6549801A-A65C-44EF-AC08-28974559D7A9}">
            <x14:dataBar minLength="0" maxLength="100" gradient="0">
              <x14:cfvo type="autoMin"/>
              <x14:cfvo type="autoMax"/>
              <x14:negativeFillColor rgb="FFFF0000"/>
              <x14:axisColor rgb="FF000000"/>
            </x14:dataBar>
          </x14:cfRule>
          <xm:sqref>D48</xm:sqref>
        </x14:conditionalFormatting>
        <x14:conditionalFormatting xmlns:xm="http://schemas.microsoft.com/office/excel/2006/main">
          <x14:cfRule type="dataBar" id="{C3AB4171-2AD8-4F74-A23E-A871CB523A66}">
            <x14:dataBar minLength="0" maxLength="100" gradient="0">
              <x14:cfvo type="autoMin"/>
              <x14:cfvo type="autoMax"/>
              <x14:negativeFillColor rgb="FFFF0000"/>
              <x14:axisColor rgb="FF000000"/>
            </x14:dataBar>
          </x14:cfRule>
          <xm:sqref>D50</xm:sqref>
        </x14:conditionalFormatting>
        <x14:conditionalFormatting xmlns:xm="http://schemas.microsoft.com/office/excel/2006/main">
          <x14:cfRule type="dataBar" id="{D133633A-EDA7-4B9B-B3F8-A3BCC875A36D}">
            <x14:dataBar minLength="0" maxLength="100" gradient="0">
              <x14:cfvo type="autoMin"/>
              <x14:cfvo type="autoMax"/>
              <x14:negativeFillColor rgb="FFFF0000"/>
              <x14:axisColor rgb="FF000000"/>
            </x14:dataBar>
          </x14:cfRule>
          <xm:sqref>D42:E42 D49 D43:D47</xm:sqref>
        </x14:conditionalFormatting>
        <x14:conditionalFormatting xmlns:xm="http://schemas.microsoft.com/office/excel/2006/main">
          <x14:cfRule type="dataBar" id="{E1AA0E55-8185-4DA0-A151-6BF106590DBE}">
            <x14:dataBar minLength="0" maxLength="100" border="1" negativeBarBorderColorSameAsPositive="0">
              <x14:cfvo type="autoMin"/>
              <x14:cfvo type="autoMax"/>
              <x14:borderColor rgb="FFFFB628"/>
              <x14:negativeFillColor rgb="FFFF0000"/>
              <x14:negativeBorderColor rgb="FFFF0000"/>
              <x14:axisColor rgb="FF000000"/>
            </x14:dataBar>
          </x14:cfRule>
          <xm:sqref>E43:E50</xm:sqref>
        </x14:conditionalFormatting>
        <x14:conditionalFormatting xmlns:xm="http://schemas.microsoft.com/office/excel/2006/main">
          <x14:cfRule type="dataBar" id="{ED6EE43F-60D0-49E3-8C7E-7122C3FA070B}">
            <x14:dataBar minLength="0" maxLength="100">
              <x14:cfvo type="autoMin"/>
              <x14:cfvo type="autoMax"/>
              <x14:negativeFillColor rgb="FFFF0000"/>
              <x14:axisColor rgb="FF000000"/>
            </x14:dataBar>
          </x14:cfRule>
          <xm:sqref>L56:L63 H56:I63 H43:I51 L43:L50 E56:E64 B56:B64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9A589-16F0-47AD-93B9-4D56D7E914B2}">
  <sheetPr codeName="Sheet6"/>
  <dimension ref="A1:Z67"/>
  <sheetViews>
    <sheetView tabSelected="1" topLeftCell="N1" zoomScale="94" zoomScaleNormal="100" workbookViewId="0">
      <selection activeCell="A26" sqref="A26:J46"/>
    </sheetView>
  </sheetViews>
  <sheetFormatPr defaultColWidth="9" defaultRowHeight="15" x14ac:dyDescent="0.25"/>
  <cols>
    <col min="1" max="1" width="16.625" style="7" bestFit="1" customWidth="1"/>
    <col min="2" max="2" width="10.625" style="7" customWidth="1"/>
    <col min="3" max="3" width="18.625" style="7" bestFit="1" customWidth="1"/>
    <col min="4" max="4" width="15.125" style="7" customWidth="1"/>
    <col min="5" max="5" width="20.625" style="7" customWidth="1"/>
    <col min="6" max="6" width="15.625" style="7" customWidth="1"/>
    <col min="7" max="7" width="14" style="7" bestFit="1" customWidth="1"/>
    <col min="8" max="8" width="14.875" style="7" bestFit="1" customWidth="1"/>
    <col min="9" max="9" width="14" style="7" bestFit="1" customWidth="1"/>
    <col min="10" max="10" width="19" style="7" customWidth="1"/>
    <col min="11" max="11" width="20.125" style="7" bestFit="1" customWidth="1"/>
    <col min="12" max="12" width="13.375" style="7" bestFit="1" customWidth="1"/>
    <col min="13" max="13" width="13.5" style="7" bestFit="1" customWidth="1"/>
    <col min="14" max="14" width="20.875" style="7" bestFit="1" customWidth="1"/>
    <col min="15" max="15" width="17.375" style="7" bestFit="1" customWidth="1"/>
    <col min="16" max="16" width="23.125" style="7" bestFit="1" customWidth="1"/>
    <col min="17" max="17" width="19.25" style="7" customWidth="1"/>
    <col min="18" max="18" width="21" style="7" bestFit="1" customWidth="1"/>
    <col min="19" max="19" width="13.75" style="7" bestFit="1" customWidth="1"/>
    <col min="20" max="20" width="24.25" style="7" bestFit="1" customWidth="1"/>
    <col min="21" max="21" width="12.25" style="7" bestFit="1" customWidth="1"/>
    <col min="22" max="22" width="11.375" style="7" bestFit="1" customWidth="1"/>
    <col min="23" max="23" width="11.75" style="7" bestFit="1" customWidth="1"/>
    <col min="24" max="24" width="13.5" style="7" bestFit="1" customWidth="1"/>
    <col min="25" max="25" width="11.75" style="7" bestFit="1" customWidth="1"/>
    <col min="26" max="26" width="11.125" style="7" bestFit="1" customWidth="1"/>
    <col min="27" max="16384" width="9" style="7"/>
  </cols>
  <sheetData>
    <row r="1" spans="1:26" ht="21" x14ac:dyDescent="0.35">
      <c r="A1" s="14" t="str">
        <f>Players!A1</f>
        <v>Player Name</v>
      </c>
      <c r="B1" s="14" t="str">
        <f>Players!C1</f>
        <v>Position</v>
      </c>
      <c r="C1" s="14" t="str">
        <f>Players!G1</f>
        <v>Reflexes</v>
      </c>
      <c r="D1" s="14" t="str">
        <f>Players!H1</f>
        <v>Handling</v>
      </c>
      <c r="E1" s="14" t="str">
        <f>Players!I1</f>
        <v>Aerial</v>
      </c>
      <c r="F1" s="14" t="str">
        <f>Players!J1</f>
        <v>Positioning</v>
      </c>
      <c r="G1" s="14" t="str">
        <f>Players!K1</f>
        <v>Agility</v>
      </c>
      <c r="H1" s="14" t="str">
        <f>Players!L1</f>
        <v>Kicking</v>
      </c>
      <c r="I1" s="14" t="str">
        <f>Players!M1</f>
        <v>Technique</v>
      </c>
      <c r="J1" s="14" t="str">
        <f>Players!N1</f>
        <v>Decisions</v>
      </c>
      <c r="K1" s="14" t="str">
        <f>Players!O1</f>
        <v>Communication</v>
      </c>
      <c r="L1" s="14" t="str">
        <f>Players!P1</f>
        <v>Teamwork</v>
      </c>
      <c r="M1" s="14" t="str">
        <f>Players!Q1</f>
        <v>Pace</v>
      </c>
      <c r="N1" s="14" t="str">
        <f>Players!R1</f>
        <v>Stamina</v>
      </c>
      <c r="O1" s="14" t="str">
        <f>Players!S1</f>
        <v>Crossing</v>
      </c>
      <c r="P1" s="14" t="str">
        <f>Players!T1</f>
        <v>Passing</v>
      </c>
      <c r="Q1" s="14" t="str">
        <f>Players!U1</f>
        <v>Tackling</v>
      </c>
      <c r="R1" s="14" t="str">
        <f>Players!V1</f>
        <v>Aggression</v>
      </c>
      <c r="S1" s="14" t="str">
        <f>Players!W1</f>
        <v>Strength</v>
      </c>
      <c r="T1" s="14" t="str">
        <f>Players!X1</f>
        <v>Movement</v>
      </c>
      <c r="U1" s="14" t="str">
        <f>Players!Y1</f>
        <v>Creativity</v>
      </c>
      <c r="V1" s="14" t="str">
        <f>Players!Z1</f>
        <v>Shooting</v>
      </c>
      <c r="W1" s="14" t="str">
        <f>Players!AA1</f>
        <v>Dribbling</v>
      </c>
      <c r="X1" s="14" t="s">
        <v>162</v>
      </c>
      <c r="Y1" s="14" t="s">
        <v>168</v>
      </c>
      <c r="Z1" s="14" t="s">
        <v>200</v>
      </c>
    </row>
    <row r="2" spans="1:26" x14ac:dyDescent="0.25">
      <c r="A2" s="8" t="str">
        <f>Players!A2</f>
        <v>Antonio Sivera</v>
      </c>
      <c r="B2" s="8" t="str">
        <f>Players!C2</f>
        <v>GK</v>
      </c>
      <c r="C2" s="8">
        <f>Players!G2</f>
        <v>16</v>
      </c>
      <c r="D2" s="8">
        <f>Players!H2</f>
        <v>13</v>
      </c>
      <c r="E2" s="8">
        <f>Players!I2</f>
        <v>13</v>
      </c>
      <c r="F2" s="8">
        <f>Players!J2</f>
        <v>12</v>
      </c>
      <c r="G2" s="8">
        <f>Players!K2</f>
        <v>13</v>
      </c>
      <c r="H2" s="8">
        <f>Players!L2</f>
        <v>13</v>
      </c>
      <c r="I2" s="8">
        <f>Players!M2</f>
        <v>11</v>
      </c>
      <c r="J2" s="8">
        <f>Players!N2</f>
        <v>13</v>
      </c>
      <c r="K2" s="8">
        <f>Players!O2</f>
        <v>12</v>
      </c>
      <c r="L2" s="8">
        <f>Players!P2</f>
        <v>11</v>
      </c>
      <c r="X2" s="8">
        <f>SUMPRODUCT(C2:L2,TRANSPOSE(_xlfn.XLOOKUP(B2,Playstyle!$B$42,Playstyle!$B$43:$B$52)))*5</f>
        <v>65</v>
      </c>
      <c r="Y2" s="8" t="str" cm="1">
        <f t="array" ref="Y2">_xlfn.IFS(X2&gt;=67,"Core",X2&gt;=63,"Keep",X2&gt;=60,"Evaluate",X2&gt;=55,"Transfer-list",TRUE,"Sell/Loan")</f>
        <v>Keep</v>
      </c>
    </row>
    <row r="3" spans="1:26" x14ac:dyDescent="0.25">
      <c r="A3" s="8" t="str">
        <f>Players!A3</f>
        <v>Raúl Fernández</v>
      </c>
      <c r="B3" s="8" t="str">
        <f>Players!C3</f>
        <v>GK</v>
      </c>
      <c r="C3" s="8">
        <f>Players!G3</f>
        <v>14</v>
      </c>
      <c r="D3" s="8">
        <f>Players!H3</f>
        <v>15</v>
      </c>
      <c r="E3" s="8">
        <f>Players!I3</f>
        <v>14</v>
      </c>
      <c r="F3" s="8">
        <f>Players!J3</f>
        <v>12</v>
      </c>
      <c r="G3" s="8">
        <f>Players!K3</f>
        <v>12</v>
      </c>
      <c r="H3" s="8">
        <f>Players!L3</f>
        <v>13</v>
      </c>
      <c r="I3" s="8">
        <f>Players!M3</f>
        <v>10</v>
      </c>
      <c r="J3" s="8">
        <f>Players!N3</f>
        <v>13</v>
      </c>
      <c r="K3" s="8">
        <f>Players!O3</f>
        <v>11</v>
      </c>
      <c r="L3" s="8">
        <f>Players!P3</f>
        <v>9</v>
      </c>
      <c r="X3" s="8">
        <f>SUMPRODUCT(C3:L3,TRANSPOSE(_xlfn.XLOOKUP(B3,Playstyle!$B$42,Playstyle!$B$43:$B$52)))*5</f>
        <v>63.25</v>
      </c>
      <c r="Y3" s="8" t="str" cm="1">
        <f t="array" ref="Y3">_xlfn.IFS(X3&gt;=67,"Core",X3&gt;=63,"Keep",X3&gt;=60,"Evaluate",X3&gt;=55,"Transfer-list",TRUE,"Sell/Loan")</f>
        <v>Keep</v>
      </c>
    </row>
    <row r="4" spans="1:26" x14ac:dyDescent="0.25">
      <c r="A4" s="8" t="str">
        <f>Players!A4</f>
        <v>Parada</v>
      </c>
      <c r="B4" s="8" t="str">
        <f>Players!C4</f>
        <v>DL</v>
      </c>
      <c r="F4" s="8">
        <f>Players!J4</f>
        <v>12</v>
      </c>
      <c r="J4" s="8">
        <f>Players!N4</f>
        <v>12</v>
      </c>
      <c r="L4" s="8">
        <f>Players!P4</f>
        <v>13</v>
      </c>
      <c r="M4" s="8">
        <f>Players!Q4</f>
        <v>13</v>
      </c>
      <c r="N4" s="8">
        <f>Players!R4</f>
        <v>13</v>
      </c>
      <c r="O4" s="8">
        <f>Players!S4</f>
        <v>11</v>
      </c>
      <c r="P4" s="8">
        <f>Players!T4</f>
        <v>9</v>
      </c>
      <c r="Q4" s="8">
        <f>Players!U4</f>
        <v>12</v>
      </c>
      <c r="R4" s="8">
        <f>Players!V4</f>
        <v>14</v>
      </c>
      <c r="X4" s="8">
        <f>SUMPRODUCT(_xlfn.HSTACK(F4,J4,L4:R4),TRANSPOSE(_xlfn.XLOOKUP(B4,Playstyle!$H$42:$I$42,Playstyle!$H$43:$I$51)))*5</f>
        <v>59.249999999999986</v>
      </c>
      <c r="Y4" s="8" t="str" cm="1">
        <f t="array" ref="Y4">_xlfn.IFS(X4&gt;=67,"Core",X4&gt;=63,"Keep",X4&gt;=60,"Evaluate",X4&gt;=55,"Transfer-list",TRUE,"Sell/Loan")</f>
        <v>Transfer-list</v>
      </c>
    </row>
    <row r="5" spans="1:26" x14ac:dyDescent="0.25">
      <c r="A5" s="8" t="str">
        <f>Players!A5</f>
        <v>Nahuel Tenaglia</v>
      </c>
      <c r="B5" s="8" t="str">
        <f>Players!C5</f>
        <v>DR</v>
      </c>
      <c r="F5" s="8">
        <f>Players!J5</f>
        <v>14</v>
      </c>
      <c r="J5" s="8">
        <f>Players!N5</f>
        <v>13</v>
      </c>
      <c r="L5" s="8">
        <f>Players!P5</f>
        <v>14</v>
      </c>
      <c r="M5" s="8">
        <f>Players!Q5</f>
        <v>14</v>
      </c>
      <c r="N5" s="8">
        <f>Players!R5</f>
        <v>14</v>
      </c>
      <c r="O5" s="8">
        <f>Players!S5</f>
        <v>10</v>
      </c>
      <c r="P5" s="8">
        <f>Players!T5</f>
        <v>10</v>
      </c>
      <c r="Q5" s="8">
        <f>Players!U5</f>
        <v>13</v>
      </c>
      <c r="R5" s="8">
        <f>Players!V5</f>
        <v>15</v>
      </c>
      <c r="X5" s="8">
        <f>SUMPRODUCT(_xlfn.HSTACK(F5,J5,L5:R5),TRANSPOSE(_xlfn.XLOOKUP(B5,Playstyle!$H$42:$I$42,Playstyle!$H$43:$I$51)))*5</f>
        <v>63.250000000000014</v>
      </c>
      <c r="Y5" s="8" t="str" cm="1">
        <f t="array" ref="Y5">_xlfn.IFS(X5&gt;=67,"Core",X5&gt;=63,"Keep",X5&gt;=60,"Evaluate",X5&gt;=55,"Transfer-list",TRUE,"Sell/Loan")</f>
        <v>Keep</v>
      </c>
    </row>
    <row r="6" spans="1:26" x14ac:dyDescent="0.25">
      <c r="A6" s="8" t="str">
        <f>Players!A6</f>
        <v>Jonny Otto</v>
      </c>
      <c r="B6" s="8" t="str">
        <f>Players!C6</f>
        <v>DR</v>
      </c>
      <c r="F6" s="8">
        <f>Players!J6</f>
        <v>13</v>
      </c>
      <c r="J6" s="8">
        <f>Players!N6</f>
        <v>12</v>
      </c>
      <c r="L6" s="8">
        <f>Players!P6</f>
        <v>15</v>
      </c>
      <c r="M6" s="8">
        <f>Players!Q6</f>
        <v>11</v>
      </c>
      <c r="N6" s="8">
        <f>Players!R6</f>
        <v>13</v>
      </c>
      <c r="O6" s="8">
        <f>Players!S6</f>
        <v>11</v>
      </c>
      <c r="P6" s="8">
        <f>Players!T6</f>
        <v>12</v>
      </c>
      <c r="Q6" s="8">
        <f>Players!U6</f>
        <v>11</v>
      </c>
      <c r="R6" s="8">
        <f>Players!V6</f>
        <v>13</v>
      </c>
      <c r="X6" s="8">
        <f>SUMPRODUCT(_xlfn.HSTACK(F6,J6,L6:R6),TRANSPOSE(_xlfn.XLOOKUP(B6,Playstyle!$H$42:$I$42,Playstyle!$H$43:$I$51)))*5</f>
        <v>61.25</v>
      </c>
      <c r="Y6" s="8" t="str" cm="1">
        <f t="array" ref="Y6">_xlfn.IFS(X6&gt;=67,"Core",X6&gt;=63,"Keep",X6&gt;=60,"Evaluate",X6&gt;=55,"Transfer-list",TRUE,"Sell/Loan")</f>
        <v>Evaluate</v>
      </c>
    </row>
    <row r="7" spans="1:26" x14ac:dyDescent="0.25">
      <c r="A7" s="8" t="str">
        <f>Players!A7</f>
        <v>Yusi</v>
      </c>
      <c r="B7" s="8" t="str">
        <f>Players!C7</f>
        <v>DL</v>
      </c>
      <c r="F7" s="8">
        <f>Players!J7</f>
        <v>8</v>
      </c>
      <c r="J7" s="8">
        <f>Players!N7</f>
        <v>15</v>
      </c>
      <c r="L7" s="8">
        <f>Players!P7</f>
        <v>12</v>
      </c>
      <c r="M7" s="8">
        <f>Players!Q7</f>
        <v>13</v>
      </c>
      <c r="N7" s="8">
        <f>Players!R7</f>
        <v>15</v>
      </c>
      <c r="O7" s="8">
        <f>Players!S7</f>
        <v>8</v>
      </c>
      <c r="P7" s="8">
        <f>Players!T7</f>
        <v>15</v>
      </c>
      <c r="Q7" s="8">
        <f>Players!U7</f>
        <v>12</v>
      </c>
      <c r="R7" s="8">
        <f>Players!V7</f>
        <v>12</v>
      </c>
      <c r="X7" s="8">
        <f>SUMPRODUCT(_xlfn.HSTACK(F7,J7,L7:R7),TRANSPOSE(_xlfn.XLOOKUP(B7,Playstyle!$H$42:$I$42,Playstyle!$H$43:$I$51)))*5</f>
        <v>61.499999999999993</v>
      </c>
      <c r="Y7" s="8" t="str" cm="1">
        <f t="array" ref="Y7">_xlfn.IFS(X7&gt;=67,"Core",X7&gt;=63,"Keep",X7&gt;=60,"Evaluate",X7&gt;=55,"Transfer-list",TRUE,"Sell/Loan")</f>
        <v>Evaluate</v>
      </c>
    </row>
    <row r="8" spans="1:26" x14ac:dyDescent="0.25">
      <c r="A8" s="8" t="str">
        <f>Players!A8</f>
        <v>Egoitz Muñoz</v>
      </c>
      <c r="B8" s="8" t="str">
        <f>Players!C8</f>
        <v>DR</v>
      </c>
      <c r="F8" s="8">
        <f>Players!J8</f>
        <v>11</v>
      </c>
      <c r="J8" s="8">
        <f>Players!N8</f>
        <v>10</v>
      </c>
      <c r="L8" s="8">
        <f>Players!P8</f>
        <v>9</v>
      </c>
      <c r="M8" s="8">
        <f>Players!Q8</f>
        <v>15</v>
      </c>
      <c r="N8" s="8">
        <f>Players!R8</f>
        <v>9</v>
      </c>
      <c r="O8" s="24">
        <f>Players!S8</f>
        <v>11</v>
      </c>
      <c r="P8" s="8">
        <f>Players!T8</f>
        <v>10</v>
      </c>
      <c r="Q8" s="8">
        <f>Players!U8</f>
        <v>11</v>
      </c>
      <c r="R8" s="8">
        <f>Players!V8</f>
        <v>12</v>
      </c>
      <c r="X8" s="8">
        <f>SUMPRODUCT(_xlfn.HSTACK(F8,J8,L8:R8),TRANSPOSE(_xlfn.XLOOKUP(B8,Playstyle!$H$42:$I$42,Playstyle!$H$43:$I$51)))*5</f>
        <v>53.5</v>
      </c>
      <c r="Y8" s="8"/>
      <c r="Z8" s="8" t="s">
        <v>633</v>
      </c>
    </row>
    <row r="9" spans="1:26" x14ac:dyDescent="0.25">
      <c r="A9" s="8" t="str">
        <f>Players!A9</f>
        <v>Ángel Pérez</v>
      </c>
      <c r="B9" s="8" t="str">
        <f>Players!C9</f>
        <v>DC</v>
      </c>
      <c r="E9" s="24">
        <f>Players!I9</f>
        <v>8</v>
      </c>
      <c r="F9" s="8">
        <f>Players!J9</f>
        <v>9</v>
      </c>
      <c r="I9" s="8">
        <f>Players!M9</f>
        <v>12</v>
      </c>
      <c r="J9" s="8">
        <f>Players!N9</f>
        <v>11</v>
      </c>
      <c r="L9" s="8">
        <f>Players!P9</f>
        <v>11</v>
      </c>
      <c r="P9" s="8">
        <f>Players!T9</f>
        <v>10</v>
      </c>
      <c r="Q9" s="8">
        <f>Players!U9</f>
        <v>11</v>
      </c>
      <c r="S9" s="8">
        <f>Players!W9</f>
        <v>10</v>
      </c>
      <c r="X9" s="8">
        <f>SUMPRODUCT(_xlfn.HSTACK(E9:F9,I9:J9,L9,P9:Q9,S9),TRANSPOSE(_xlfn.XLOOKUP(B9,Playstyle!$E$42,Playstyle!$E$43:$E$50)))*5</f>
        <v>49</v>
      </c>
      <c r="Y9" s="8" t="str" cm="1">
        <f t="array" ref="Y9">_xlfn.IFS(X9&gt;=67,"Core",X9&gt;=63,"Keep",X9&gt;=60,"Evaluate",X9&gt;=55,"Transfer-list",TRUE,"Sell/Loan")</f>
        <v>Sell/Loan</v>
      </c>
    </row>
    <row r="10" spans="1:26" x14ac:dyDescent="0.25">
      <c r="A10" s="8" t="str">
        <f>Players!A10</f>
        <v>Ville Koski</v>
      </c>
      <c r="B10" s="8" t="str">
        <f>Players!C10</f>
        <v>DC</v>
      </c>
      <c r="E10" s="24">
        <f>Players!I10</f>
        <v>13</v>
      </c>
      <c r="F10" s="8">
        <f>Players!J10</f>
        <v>12</v>
      </c>
      <c r="I10" s="8">
        <f>Players!M10</f>
        <v>11</v>
      </c>
      <c r="J10" s="8">
        <f>Players!N10</f>
        <v>12</v>
      </c>
      <c r="L10" s="8">
        <f>Players!P10</f>
        <v>14</v>
      </c>
      <c r="P10" s="8">
        <f>Players!T10</f>
        <v>12</v>
      </c>
      <c r="Q10" s="8">
        <f>Players!U10</f>
        <v>13</v>
      </c>
      <c r="S10" s="8">
        <f>Players!W10</f>
        <v>12</v>
      </c>
      <c r="X10" s="8">
        <f>SUMPRODUCT(_xlfn.HSTACK(E10:F10,I10:J10,L10,P10:Q10,S10),TRANSPOSE(_xlfn.XLOOKUP(B10,Playstyle!$E$42,Playstyle!$E$43:$E$50)))*5</f>
        <v>61.750000000000007</v>
      </c>
      <c r="Y10" s="8" t="str" cm="1">
        <f t="array" ref="Y10">_xlfn.IFS(X10&gt;=67,"Core",X10&gt;=63,"Keep",X10&gt;=60,"Evaluate",X10&gt;=55,"Transfer-list",TRUE,"Sell/Loan")</f>
        <v>Evaluate</v>
      </c>
    </row>
    <row r="11" spans="1:26" x14ac:dyDescent="0.25">
      <c r="A11" s="8" t="str">
        <f>Players!A11</f>
        <v>Gustavo Gómez</v>
      </c>
      <c r="B11" s="8" t="str">
        <f>Players!C11</f>
        <v>DC</v>
      </c>
      <c r="E11" s="24">
        <f>Players!I11</f>
        <v>15</v>
      </c>
      <c r="F11" s="8">
        <f>Players!J11</f>
        <v>19</v>
      </c>
      <c r="I11" s="8">
        <f>Players!M11</f>
        <v>11</v>
      </c>
      <c r="J11" s="8">
        <f>Players!N11</f>
        <v>16</v>
      </c>
      <c r="L11" s="8">
        <f>Players!P11</f>
        <v>16</v>
      </c>
      <c r="P11" s="8">
        <f>Players!T11</f>
        <v>10</v>
      </c>
      <c r="Q11" s="8">
        <f>Players!U11</f>
        <v>18</v>
      </c>
      <c r="S11" s="8">
        <f>Players!W11</f>
        <v>16</v>
      </c>
      <c r="X11" s="8">
        <f>SUMPRODUCT(_xlfn.HSTACK(E11:F11,I11:J11,L11,P11:Q11,S11),TRANSPOSE(_xlfn.XLOOKUP(B11,Playstyle!$E$42,Playstyle!$E$43:$E$50)))*5</f>
        <v>76.5</v>
      </c>
      <c r="Y11" s="8" t="str" cm="1">
        <f t="array" ref="Y11">_xlfn.IFS(X11&gt;=67,"Core",X11&gt;=63,"Keep",X11&gt;=60,"Evaluate",X11&gt;=55,"Transfer-list",TRUE,"Sell/Loan")</f>
        <v>Core</v>
      </c>
    </row>
    <row r="12" spans="1:26" x14ac:dyDescent="0.25">
      <c r="A12" s="8" t="str">
        <f>Players!A12</f>
        <v>Adrián Pica</v>
      </c>
      <c r="B12" s="8" t="str">
        <f>Players!C12</f>
        <v>DC</v>
      </c>
      <c r="E12" s="24">
        <f>Players!I12</f>
        <v>15</v>
      </c>
      <c r="F12" s="8">
        <f>Players!J12</f>
        <v>10</v>
      </c>
      <c r="I12" s="8">
        <f>Players!M12</f>
        <v>9</v>
      </c>
      <c r="J12" s="8">
        <f>Players!N12</f>
        <v>10</v>
      </c>
      <c r="L12" s="8">
        <f>Players!P12</f>
        <v>12</v>
      </c>
      <c r="P12" s="8">
        <f>Players!T12</f>
        <v>7</v>
      </c>
      <c r="Q12" s="8">
        <f>Players!U12</f>
        <v>11</v>
      </c>
      <c r="S12" s="8">
        <f>Players!W12</f>
        <v>13</v>
      </c>
      <c r="X12" s="8">
        <f>SUMPRODUCT(_xlfn.HSTACK(E12:F12,I12:J12,L12,P12:Q12,S12),TRANSPOSE(_xlfn.XLOOKUP(B12,Playstyle!$E$42,Playstyle!$E$43:$E$50)))*5</f>
        <v>56.5</v>
      </c>
      <c r="Y12" s="8"/>
    </row>
    <row r="13" spans="1:26" x14ac:dyDescent="0.25">
      <c r="A13" s="8" t="str">
        <f>Players!A13</f>
        <v>Antonio Blanco</v>
      </c>
      <c r="B13" s="8" t="str">
        <f>Players!C13</f>
        <v>DM</v>
      </c>
      <c r="F13" s="8">
        <f>Players!J13</f>
        <v>14</v>
      </c>
      <c r="I13" s="8">
        <f>Players!M13</f>
        <v>14</v>
      </c>
      <c r="J13" s="8">
        <f>Players!N13</f>
        <v>14</v>
      </c>
      <c r="L13" s="8">
        <f>Players!P13</f>
        <v>15</v>
      </c>
      <c r="N13" s="8">
        <f>Players!R13</f>
        <v>14</v>
      </c>
      <c r="P13" s="8">
        <f>Players!T13</f>
        <v>13</v>
      </c>
      <c r="Q13" s="8">
        <f>Players!U13</f>
        <v>13</v>
      </c>
      <c r="S13" s="8">
        <f>Players!W13</f>
        <v>11</v>
      </c>
      <c r="X13" s="8">
        <f>SUMPRODUCT(_xlfn.HSTACK(F13,I13:J13,L13,N13,P13:Q13,S13),TRANSPOSE(_xlfn.XLOOKUP(B13,Playstyle!$L$42,Playstyle!$L$43:$L$50)))*5</f>
        <v>68</v>
      </c>
      <c r="Y13" s="8" t="str" cm="1">
        <f t="array" ref="Y13">_xlfn.IFS(X13&gt;=67,"Core",X13&gt;=63,"Keep",X13&gt;=60,"Evaluate",X13&gt;=55,"Transfer-list",TRUE,"Sell/Loan")</f>
        <v>Core</v>
      </c>
    </row>
    <row r="14" spans="1:26" x14ac:dyDescent="0.25">
      <c r="A14" s="8" t="str">
        <f>Players!A14</f>
        <v>Ander Guevara</v>
      </c>
      <c r="B14" s="8" t="str">
        <f>Players!C14</f>
        <v>DM</v>
      </c>
      <c r="F14" s="8">
        <f>Players!J14</f>
        <v>13</v>
      </c>
      <c r="I14" s="8">
        <f>Players!M14</f>
        <v>13</v>
      </c>
      <c r="J14" s="8">
        <f>Players!N14</f>
        <v>13</v>
      </c>
      <c r="L14" s="8">
        <f>Players!P14</f>
        <v>16</v>
      </c>
      <c r="N14" s="8">
        <f>Players!R14</f>
        <v>16</v>
      </c>
      <c r="P14" s="8">
        <f>Players!T14</f>
        <v>14</v>
      </c>
      <c r="Q14" s="8">
        <f>Players!U14</f>
        <v>13</v>
      </c>
      <c r="S14" s="8">
        <f>Players!W14</f>
        <v>13</v>
      </c>
      <c r="X14" s="8">
        <f>SUMPRODUCT(_xlfn.HSTACK(F14,I14:J14,L14,N14,P14:Q14,S14),TRANSPOSE(_xlfn.XLOOKUP(B14,Playstyle!$L$42,Playstyle!$L$43:$L$50)))*5</f>
        <v>69.75</v>
      </c>
      <c r="Y14" s="8" t="str" cm="1">
        <f t="array" ref="Y14">_xlfn.IFS(X14&gt;=67,"Core",X14&gt;=63,"Keep",X14&gt;=60,"Evaluate",X14&gt;=55,"Transfer-list",TRUE,"Sell/Loan")</f>
        <v>Core</v>
      </c>
    </row>
    <row r="15" spans="1:26" x14ac:dyDescent="0.25">
      <c r="A15" s="8" t="str">
        <f>Players!A15</f>
        <v>Carles Aleñá</v>
      </c>
      <c r="B15" s="8" t="str">
        <f>Players!C15</f>
        <v>MC</v>
      </c>
      <c r="F15" s="8">
        <f>Players!J15</f>
        <v>8</v>
      </c>
      <c r="I15" s="8">
        <f>Players!M15</f>
        <v>17</v>
      </c>
      <c r="J15" s="8">
        <f>Players!N15</f>
        <v>13</v>
      </c>
      <c r="L15" s="8">
        <f>Players!P15</f>
        <v>11</v>
      </c>
      <c r="N15" s="8">
        <f>Players!R15</f>
        <v>12</v>
      </c>
      <c r="P15" s="8">
        <f>Players!T15</f>
        <v>14</v>
      </c>
      <c r="R15" s="8">
        <f>Players!V15</f>
        <v>12</v>
      </c>
      <c r="S15" s="24">
        <f>Players!W15</f>
        <v>11</v>
      </c>
      <c r="T15" s="8">
        <f>Players!X15</f>
        <v>12</v>
      </c>
      <c r="X15" s="8">
        <f>SUMPRODUCT(_xlfn.HSTACK(F15,I15:J15,L15,N15,P15,R15:T15),TRANSPOSE(_xlfn.XLOOKUP(B15,Playstyle!$B$55,Playstyle!$B$56:$B$64)))*5</f>
        <v>61.750000000000007</v>
      </c>
      <c r="Y15" s="25" t="str" cm="1">
        <f t="array" ref="Y15">_xlfn.IFS(X15&gt;=67,"Core",X15&gt;=63,"Keep",X15&gt;=60,"Evaluate",X15&gt;=55,"Transfer-list",TRUE,"Sell/Loan")</f>
        <v>Evaluate</v>
      </c>
    </row>
    <row r="16" spans="1:26" x14ac:dyDescent="0.25">
      <c r="A16" s="8" t="str">
        <f>Players!A16</f>
        <v>Pablo Ibáñez</v>
      </c>
      <c r="B16" s="8" t="str">
        <f>Players!C16</f>
        <v>MC</v>
      </c>
      <c r="F16" s="8">
        <f>Players!J16</f>
        <v>13</v>
      </c>
      <c r="I16" s="8">
        <f>Players!M16</f>
        <v>12</v>
      </c>
      <c r="J16" s="8">
        <f>Players!N16</f>
        <v>12</v>
      </c>
      <c r="L16" s="8">
        <f>Players!P16</f>
        <v>15</v>
      </c>
      <c r="N16" s="8">
        <f>Players!R16</f>
        <v>14</v>
      </c>
      <c r="P16" s="8">
        <f>Players!T16</f>
        <v>12</v>
      </c>
      <c r="R16" s="8">
        <f>Players!V16</f>
        <v>14</v>
      </c>
      <c r="S16" s="24">
        <f>Players!W16</f>
        <v>12</v>
      </c>
      <c r="T16" s="8">
        <f>Players!X16</f>
        <v>13</v>
      </c>
      <c r="X16" s="8">
        <f>SUMPRODUCT(_xlfn.HSTACK(F16,I16:J16,L16,N16,P16,R16:T16),TRANSPOSE(_xlfn.XLOOKUP(B16,Playstyle!$B$55,Playstyle!$B$56:$B$64)))*5</f>
        <v>65.25</v>
      </c>
      <c r="Y16" s="8" t="str" cm="1">
        <f t="array" ref="Y16">_xlfn.IFS(X16&gt;=67,"Core",X16&gt;=63,"Keep",X16&gt;=60,"Evaluate",X16&gt;=55,"Transfer-list",TRUE,"Sell/Loan")</f>
        <v>Keep</v>
      </c>
    </row>
    <row r="17" spans="1:26" x14ac:dyDescent="0.25">
      <c r="A17" s="8" t="str">
        <f>Players!A17</f>
        <v>Millián Roigé</v>
      </c>
      <c r="B17" s="8" t="str">
        <f>Players!C17</f>
        <v>MC</v>
      </c>
      <c r="F17" s="8">
        <f>Players!J17</f>
        <v>11</v>
      </c>
      <c r="I17" s="8">
        <f>Players!M17</f>
        <v>9</v>
      </c>
      <c r="J17" s="8">
        <f>Players!N17</f>
        <v>11</v>
      </c>
      <c r="L17" s="8">
        <f>Players!P17</f>
        <v>11</v>
      </c>
      <c r="N17" s="8">
        <f>Players!R17</f>
        <v>11</v>
      </c>
      <c r="P17" s="8">
        <f>Players!T17</f>
        <v>13</v>
      </c>
      <c r="R17" s="8">
        <f>Players!V17</f>
        <v>11</v>
      </c>
      <c r="S17" s="24">
        <f>Players!W17</f>
        <v>9</v>
      </c>
      <c r="T17" s="8">
        <f>Players!X17</f>
        <v>12</v>
      </c>
      <c r="X17" s="8">
        <f>SUMPRODUCT(_xlfn.HSTACK(F17,I17:J17,L17,N17,P17,R17:T17),TRANSPOSE(_xlfn.XLOOKUP(B17,Playstyle!$B$55,Playstyle!$B$56:$B$64)))*5</f>
        <v>55.499999999999986</v>
      </c>
      <c r="Y17" s="24"/>
      <c r="Z17" s="8" t="s">
        <v>383</v>
      </c>
    </row>
    <row r="18" spans="1:26" x14ac:dyDescent="0.25">
      <c r="A18" s="8" t="str">
        <f>Players!A18</f>
        <v>Denis Suárez</v>
      </c>
      <c r="B18" s="8" t="str">
        <f>Players!C18</f>
        <v>AM</v>
      </c>
      <c r="I18" s="8">
        <f>Players!M18</f>
        <v>13</v>
      </c>
      <c r="J18" s="8">
        <f>Players!N18</f>
        <v>12</v>
      </c>
      <c r="L18" s="8">
        <f>Players!P18</f>
        <v>9</v>
      </c>
      <c r="M18" s="24">
        <f>Players!Q18</f>
        <v>12</v>
      </c>
      <c r="N18" s="8">
        <f>Players!R18</f>
        <v>10</v>
      </c>
      <c r="P18" s="8">
        <f>Players!T18</f>
        <v>15</v>
      </c>
      <c r="T18" s="8">
        <f>Players!X18</f>
        <v>12</v>
      </c>
      <c r="U18" s="8">
        <f>Players!Y18</f>
        <v>15</v>
      </c>
      <c r="V18" s="8">
        <f>Players!Z18</f>
        <v>10</v>
      </c>
      <c r="X18" s="8">
        <f>SUMPRODUCT(_xlfn.HSTACK(I18:J18,L18:N18,P18,T18:V18),TRANSPOSE(_xlfn.XLOOKUP(B18,Playstyle!$E$55,Playstyle!$E$56:$E$64)))*5</f>
        <v>62.5</v>
      </c>
      <c r="Y18" s="8" t="str" cm="1">
        <f t="array" ref="Y18">_xlfn.IFS(X18&gt;=67,"Core",X18&gt;=63,"Keep",X18&gt;=60,"Evaluate",X18&gt;=55,"Transfer-list",TRUE,"Sell/Loan")</f>
        <v>Evaluate</v>
      </c>
    </row>
    <row r="19" spans="1:26" ht="15" customHeight="1" x14ac:dyDescent="0.25">
      <c r="A19" s="8" t="str">
        <f>Players!A19</f>
        <v>Calebe</v>
      </c>
      <c r="B19" s="8" t="str">
        <f>Players!C19</f>
        <v>AM</v>
      </c>
      <c r="I19" s="8">
        <f>Players!M19</f>
        <v>12</v>
      </c>
      <c r="J19" s="8">
        <f>Players!N19</f>
        <v>13</v>
      </c>
      <c r="L19" s="8">
        <f>Players!P19</f>
        <v>12</v>
      </c>
      <c r="M19" s="24">
        <f>Players!Q19</f>
        <v>10</v>
      </c>
      <c r="N19" s="8">
        <f>Players!R19</f>
        <v>12</v>
      </c>
      <c r="P19" s="8">
        <f>Players!T19</f>
        <v>14</v>
      </c>
      <c r="T19" s="8">
        <f>Players!X19</f>
        <v>13</v>
      </c>
      <c r="U19" s="8">
        <f>Players!Y19</f>
        <v>15</v>
      </c>
      <c r="V19" s="8">
        <f>Players!Z19</f>
        <v>12</v>
      </c>
      <c r="X19" s="8">
        <f>SUMPRODUCT(_xlfn.HSTACK(I19:J19,L19:N19,P19,T19:V19),TRANSPOSE(_xlfn.XLOOKUP(B19,Playstyle!$E$55,Playstyle!$E$56:$E$64)))*5</f>
        <v>64.25</v>
      </c>
      <c r="Y19" s="8" t="str" cm="1">
        <f t="array" ref="Y19">_xlfn.IFS(X19&gt;=67,"Core",X19&gt;=63,"Keep",X19&gt;=60,"Evaluate",X19&gt;=55,"Transfer-list",TRUE,"Sell/Loan")</f>
        <v>Keep</v>
      </c>
    </row>
    <row r="20" spans="1:26" ht="15" customHeight="1" x14ac:dyDescent="0.25">
      <c r="A20" s="8" t="str">
        <f>Players!A20</f>
        <v>Abde</v>
      </c>
      <c r="B20" s="8" t="str">
        <f>Players!C20</f>
        <v>WR</v>
      </c>
      <c r="I20" s="8">
        <f>Players!M20</f>
        <v>11</v>
      </c>
      <c r="J20" s="8">
        <f>Players!N20</f>
        <v>12</v>
      </c>
      <c r="L20" s="8">
        <f>Players!P20</f>
        <v>14</v>
      </c>
      <c r="M20" s="24">
        <f>Players!Q20</f>
        <v>13</v>
      </c>
      <c r="N20" s="8">
        <f>Players!R20</f>
        <v>12</v>
      </c>
      <c r="O20" s="8">
        <f>Players!S20</f>
        <v>12</v>
      </c>
      <c r="T20" s="8">
        <f>Players!X20</f>
        <v>14</v>
      </c>
      <c r="W20" s="24">
        <f>Players!AA20</f>
        <v>12</v>
      </c>
      <c r="X20" s="8">
        <f>SUMPRODUCT(_xlfn.HSTACK(I20:J20,L20:O20,T20,W20),TRANSPOSE(_xlfn.XLOOKUP(B20,Playstyle!$H$55:$I$55,Playstyle!$H$56:$I$63)))*5</f>
        <v>62.5</v>
      </c>
      <c r="Y20" s="8" t="str" cm="1">
        <f t="array" ref="Y20">_xlfn.IFS(X20&gt;=67,"Core",X20&gt;=63,"Keep",X20&gt;=60,"Evaluate",X20&gt;=55,"Transfer-list",TRUE,"Sell/Loan")</f>
        <v>Evaluate</v>
      </c>
    </row>
    <row r="21" spans="1:26" x14ac:dyDescent="0.25">
      <c r="A21" s="8" t="str">
        <f>Players!A21</f>
        <v>Francis Amuzu</v>
      </c>
      <c r="B21" s="8" t="str">
        <f>Players!C21</f>
        <v>WL</v>
      </c>
      <c r="I21" s="8">
        <f>Players!M21</f>
        <v>14</v>
      </c>
      <c r="J21" s="8">
        <f>Players!N21</f>
        <v>13</v>
      </c>
      <c r="L21" s="8">
        <f>Players!P21</f>
        <v>12</v>
      </c>
      <c r="M21" s="24">
        <f>Players!Q21</f>
        <v>16</v>
      </c>
      <c r="N21" s="8">
        <f>Players!R21</f>
        <v>12</v>
      </c>
      <c r="O21" s="93">
        <f>Players!S21</f>
        <v>14</v>
      </c>
      <c r="T21" s="8">
        <f>Players!X21</f>
        <v>15</v>
      </c>
      <c r="W21" s="24">
        <f>Players!AA21</f>
        <v>15</v>
      </c>
      <c r="X21" s="8">
        <f>SUMPRODUCT(_xlfn.HSTACK(I21:J21,L21:O21,T21,W21),TRANSPOSE(_xlfn.XLOOKUP(B21,Playstyle!$H$55:$I$55,Playstyle!$H$56:$I$63)))*5</f>
        <v>71.25</v>
      </c>
      <c r="Y21" s="8" t="str" cm="1">
        <f t="array" ref="Y21">_xlfn.IFS(X21&gt;=67,"Core",X21&gt;=63,"Keep",X21&gt;=60,"Evaluate",X21&gt;=55,"Transfer-list",TRUE,"Sell/Loan")</f>
        <v>Core</v>
      </c>
    </row>
    <row r="22" spans="1:26" x14ac:dyDescent="0.25">
      <c r="A22" s="8" t="str">
        <f>Players!A22</f>
        <v>Toni Martínez</v>
      </c>
      <c r="B22" s="8" t="str">
        <f>Players!C22</f>
        <v>ST</v>
      </c>
      <c r="E22" s="8">
        <f>Players!I22</f>
        <v>14</v>
      </c>
      <c r="J22" s="8">
        <f>Players!N22</f>
        <v>12</v>
      </c>
      <c r="L22" s="8">
        <f>Players!P22</f>
        <v>14</v>
      </c>
      <c r="M22" s="8">
        <f>Players!Q22</f>
        <v>13</v>
      </c>
      <c r="R22" s="8">
        <f>Players!V22</f>
        <v>16</v>
      </c>
      <c r="S22" s="8">
        <f>Players!W22</f>
        <v>13</v>
      </c>
      <c r="T22" s="8">
        <f>Players!X22</f>
        <v>14</v>
      </c>
      <c r="V22" s="8">
        <f>Players!Z22</f>
        <v>17</v>
      </c>
      <c r="X22" s="8">
        <f>SUMPRODUCT(_xlfn.HSTACK(E22,J22,L22:M22,R22:T22,V22),TRANSPOSE(_xlfn.XLOOKUP(B22,Playstyle!$L$55,Playstyle!$L$56:$L$63)))*5</f>
        <v>70.75</v>
      </c>
      <c r="Y22" s="8" t="str" cm="1">
        <f t="array" ref="Y22">_xlfn.IFS(X22&gt;=67,"Core",X22&gt;=63,"Keep",X22&gt;=60,"Evaluate",X22&gt;=55,"Transfer-list",TRUE,"Sell/Loan")</f>
        <v>Core</v>
      </c>
    </row>
    <row r="23" spans="1:26" x14ac:dyDescent="0.25">
      <c r="A23" s="8" t="str">
        <f>Players!A23</f>
        <v>Lucas Boyé</v>
      </c>
      <c r="B23" s="8" t="str">
        <f>Players!C23</f>
        <v>ST</v>
      </c>
      <c r="E23" s="8">
        <f>Players!I23</f>
        <v>13</v>
      </c>
      <c r="J23" s="8">
        <f>Players!N23</f>
        <v>14</v>
      </c>
      <c r="L23" s="8">
        <f>Players!P23</f>
        <v>16</v>
      </c>
      <c r="M23" s="8">
        <f>Players!Q23</f>
        <v>15</v>
      </c>
      <c r="R23" s="8">
        <f>Players!V23</f>
        <v>11</v>
      </c>
      <c r="S23" s="8">
        <f>Players!W23</f>
        <v>16</v>
      </c>
      <c r="T23" s="8">
        <f>Players!X23</f>
        <v>12</v>
      </c>
      <c r="V23" s="8">
        <f>Players!Z23</f>
        <v>15</v>
      </c>
      <c r="X23" s="8">
        <f>SUMPRODUCT(_xlfn.HSTACK(E23,J23,L23:M23,R23:T23,V23),TRANSPOSE(_xlfn.XLOOKUP(B23,Playstyle!$L$55,Playstyle!$L$56:$L$63)))*5</f>
        <v>70.25</v>
      </c>
      <c r="Y23" s="8" t="str" cm="1">
        <f t="array" ref="Y23">_xlfn.IFS(X23&gt;=67,"Core",X23&gt;=63,"Keep",X23&gt;=60,"Evaluate",X23&gt;=55,"Transfer-list",TRUE,"Sell/Loan")</f>
        <v>Core</v>
      </c>
    </row>
    <row r="24" spans="1:26" x14ac:dyDescent="0.25">
      <c r="A24" s="8" t="str">
        <f>Players!A24</f>
        <v>Diabaté</v>
      </c>
      <c r="B24" s="8" t="str">
        <f>Players!C24</f>
        <v>ST</v>
      </c>
      <c r="E24" s="8">
        <f>Players!I24</f>
        <v>13</v>
      </c>
      <c r="J24" s="8">
        <f>Players!N24</f>
        <v>12</v>
      </c>
      <c r="L24" s="8">
        <f>Players!P24</f>
        <v>12</v>
      </c>
      <c r="M24" s="8">
        <f>Players!Q24</f>
        <v>13</v>
      </c>
      <c r="R24" s="8">
        <f>Players!V24</f>
        <v>12</v>
      </c>
      <c r="S24" s="8">
        <f>Players!W24</f>
        <v>14</v>
      </c>
      <c r="T24" s="8">
        <f>Players!X24</f>
        <v>12</v>
      </c>
      <c r="V24" s="8">
        <f>Players!Z24</f>
        <v>16</v>
      </c>
      <c r="X24" s="8">
        <f>SUMPRODUCT(_xlfn.HSTACK(E24,J24,L24:M24,R24:T24,V24),TRANSPOSE(_xlfn.XLOOKUP(B24,Playstyle!$L$55,Playstyle!$L$56:$L$63)))*5</f>
        <v>66.75</v>
      </c>
      <c r="Y24" s="8" t="str" cm="1">
        <f t="array" ref="Y24">_xlfn.IFS(X24&gt;=67,"Core",X24&gt;=63,"Keep",X24&gt;=60,"Evaluate",X24&gt;=55,"Transfer-list",TRUE,"Sell/Loan")</f>
        <v>Keep</v>
      </c>
    </row>
    <row r="25" spans="1:26" x14ac:dyDescent="0.25">
      <c r="A25" s="8" t="str">
        <f>Players!A25</f>
        <v>Mariano Díaz</v>
      </c>
      <c r="B25" s="8" t="str">
        <f>Players!C25</f>
        <v>ST</v>
      </c>
      <c r="E25" s="8">
        <f>Players!I25</f>
        <v>13</v>
      </c>
      <c r="J25" s="8">
        <f>Players!N25</f>
        <v>11</v>
      </c>
      <c r="L25" s="8">
        <f>Players!P25</f>
        <v>13</v>
      </c>
      <c r="M25" s="8">
        <f>Players!Q25</f>
        <v>13</v>
      </c>
      <c r="R25" s="8">
        <f>Players!V25</f>
        <v>15</v>
      </c>
      <c r="S25" s="8">
        <f>Players!W25</f>
        <v>14</v>
      </c>
      <c r="T25" s="8">
        <f>Players!X25</f>
        <v>12</v>
      </c>
      <c r="V25" s="8">
        <f>Players!Z25</f>
        <v>13</v>
      </c>
      <c r="X25" s="8">
        <f>SUMPRODUCT(_xlfn.HSTACK(E25,J25,L25:M25,R25:T25,V25),TRANSPOSE(_xlfn.XLOOKUP(B25,Playstyle!$L$55,Playstyle!$L$56:$L$63)))*5</f>
        <v>65.25</v>
      </c>
      <c r="Y25" s="8" t="str" cm="1">
        <f t="array" ref="Y25">_xlfn.IFS(X25&gt;=67,"Core",X25&gt;=63,"Keep",X25&gt;=60,"Evaluate",X25&gt;=55,"Transfer-list",TRUE,"Sell/Loan")</f>
        <v>Keep</v>
      </c>
    </row>
    <row r="31" spans="1:26" ht="15" customHeight="1" x14ac:dyDescent="0.25"/>
    <row r="48" ht="14.45" customHeight="1" x14ac:dyDescent="0.25"/>
    <row r="59" ht="15" customHeight="1" x14ac:dyDescent="0.25"/>
    <row r="60" ht="15" customHeight="1" x14ac:dyDescent="0.25"/>
    <row r="67" ht="15" customHeight="1" x14ac:dyDescent="0.25"/>
  </sheetData>
  <conditionalFormatting sqref="V28">
    <cfRule type="containsText" dxfId="33" priority="36" operator="containsText" text="Transfer">
      <formula>NOT(ISERROR(SEARCH("Transfer",V28)))</formula>
    </cfRule>
    <cfRule type="containsText" dxfId="32" priority="40" operator="containsText" text="Evaluate">
      <formula>NOT(ISERROR(SEARCH("Evaluate",V28)))</formula>
    </cfRule>
    <cfRule type="containsText" dxfId="31" priority="41" operator="containsText" text="Keep">
      <formula>NOT(ISERROR(SEARCH("Keep",V28)))</formula>
    </cfRule>
    <cfRule type="containsText" dxfId="30" priority="42" operator="containsText" text="Core">
      <formula>NOT(ISERROR(SEARCH("Core",V28)))</formula>
    </cfRule>
  </conditionalFormatting>
  <conditionalFormatting sqref="Y2:Y7">
    <cfRule type="containsText" dxfId="29" priority="30" operator="containsText" text="Transfer">
      <formula>NOT(ISERROR(SEARCH("Transfer",Y2)))</formula>
    </cfRule>
    <cfRule type="containsText" dxfId="28" priority="31" operator="containsText" text="Evaluate">
      <formula>NOT(ISERROR(SEARCH("Evaluate",Y2)))</formula>
    </cfRule>
    <cfRule type="containsText" dxfId="27" priority="32" operator="containsText" text="Keep">
      <formula>NOT(ISERROR(SEARCH("Keep",Y2)))</formula>
    </cfRule>
    <cfRule type="containsText" dxfId="26" priority="33" operator="containsText" text="Core">
      <formula>NOT(ISERROR(SEARCH("Core",Y2)))</formula>
    </cfRule>
  </conditionalFormatting>
  <conditionalFormatting sqref="Y9">
    <cfRule type="containsText" dxfId="25" priority="25" operator="containsText" text="Sell">
      <formula>NOT(ISERROR(SEARCH("Sell",Y9)))</formula>
    </cfRule>
  </conditionalFormatting>
  <conditionalFormatting sqref="Y9:Y12">
    <cfRule type="containsText" dxfId="24" priority="26" operator="containsText" text="Transfer">
      <formula>NOT(ISERROR(SEARCH("Transfer",Y9)))</formula>
    </cfRule>
    <cfRule type="containsText" dxfId="23" priority="27" operator="containsText" text="Evaluate">
      <formula>NOT(ISERROR(SEARCH("Evaluate",Y9)))</formula>
    </cfRule>
    <cfRule type="containsText" dxfId="22" priority="28" operator="containsText" text="Keep">
      <formula>NOT(ISERROR(SEARCH("Keep",Y9)))</formula>
    </cfRule>
    <cfRule type="containsText" dxfId="21" priority="29" operator="containsText" text="Core">
      <formula>NOT(ISERROR(SEARCH("Core",Y9)))</formula>
    </cfRule>
  </conditionalFormatting>
  <conditionalFormatting sqref="Y13:Y14">
    <cfRule type="containsText" dxfId="20" priority="21" operator="containsText" text="Transfer">
      <formula>NOT(ISERROR(SEARCH("Transfer",Y13)))</formula>
    </cfRule>
    <cfRule type="containsText" dxfId="19" priority="22" operator="containsText" text="Evaluate">
      <formula>NOT(ISERROR(SEARCH("Evaluate",Y13)))</formula>
    </cfRule>
    <cfRule type="containsText" dxfId="18" priority="23" operator="containsText" text="Keep">
      <formula>NOT(ISERROR(SEARCH("Keep",Y13)))</formula>
    </cfRule>
    <cfRule type="containsText" dxfId="17" priority="24" operator="containsText" text="Core">
      <formula>NOT(ISERROR(SEARCH("Core",Y13)))</formula>
    </cfRule>
  </conditionalFormatting>
  <conditionalFormatting sqref="Y14">
    <cfRule type="containsText" dxfId="16" priority="20" operator="containsText" text="Sell">
      <formula>NOT(ISERROR(SEARCH("Sell",Y14)))</formula>
    </cfRule>
  </conditionalFormatting>
  <conditionalFormatting sqref="Y15:Y16">
    <cfRule type="containsText" dxfId="15" priority="16" operator="containsText" text="Transfer">
      <formula>NOT(ISERROR(SEARCH("Transfer",Y15)))</formula>
    </cfRule>
    <cfRule type="containsText" dxfId="14" priority="17" operator="containsText" text="Evaluate">
      <formula>NOT(ISERROR(SEARCH("Evaluate",Y15)))</formula>
    </cfRule>
    <cfRule type="containsText" dxfId="13" priority="18" operator="containsText" text="Keep">
      <formula>NOT(ISERROR(SEARCH("Keep",Y15)))</formula>
    </cfRule>
    <cfRule type="containsText" dxfId="12" priority="19" operator="containsText" text="Core">
      <formula>NOT(ISERROR(SEARCH("Core",Y15)))</formula>
    </cfRule>
  </conditionalFormatting>
  <conditionalFormatting sqref="Y16">
    <cfRule type="containsText" dxfId="11" priority="15" operator="containsText" text="Sell">
      <formula>NOT(ISERROR(SEARCH("Sell",Y16)))</formula>
    </cfRule>
  </conditionalFormatting>
  <conditionalFormatting sqref="Y18:Y19">
    <cfRule type="containsText" dxfId="10" priority="11" operator="containsText" text="Transfer">
      <formula>NOT(ISERROR(SEARCH("Transfer",Y18)))</formula>
    </cfRule>
    <cfRule type="containsText" dxfId="9" priority="12" operator="containsText" text="Evaluate">
      <formula>NOT(ISERROR(SEARCH("Evaluate",Y18)))</formula>
    </cfRule>
    <cfRule type="containsText" dxfId="8" priority="13" operator="containsText" text="Keep">
      <formula>NOT(ISERROR(SEARCH("Keep",Y18)))</formula>
    </cfRule>
    <cfRule type="containsText" dxfId="7" priority="14" operator="containsText" text="Core">
      <formula>NOT(ISERROR(SEARCH("Core",Y18)))</formula>
    </cfRule>
  </conditionalFormatting>
  <conditionalFormatting sqref="Y19">
    <cfRule type="containsText" dxfId="6" priority="10" operator="containsText" text="Sell">
      <formula>NOT(ISERROR(SEARCH("Sell",Y19)))</formula>
    </cfRule>
  </conditionalFormatting>
  <conditionalFormatting sqref="Y20:Y25">
    <cfRule type="containsText" dxfId="5" priority="2" operator="containsText" text="Transfer">
      <formula>NOT(ISERROR(SEARCH("Transfer",Y20)))</formula>
    </cfRule>
    <cfRule type="containsText" dxfId="4" priority="3" operator="containsText" text="Evaluate">
      <formula>NOT(ISERROR(SEARCH("Evaluate",Y20)))</formula>
    </cfRule>
    <cfRule type="containsText" dxfId="3" priority="4" operator="containsText" text="Keep">
      <formula>NOT(ISERROR(SEARCH("Keep",Y20)))</formula>
    </cfRule>
    <cfRule type="containsText" dxfId="2" priority="5" operator="containsText" text="Core">
      <formula>NOT(ISERROR(SEARCH("Core",Y20)))</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37BB-FC12-41ED-BE1C-5053B893CB9B}">
  <sheetPr codeName="Sheet7"/>
  <dimension ref="A1:R34"/>
  <sheetViews>
    <sheetView zoomScale="89" workbookViewId="0">
      <selection activeCell="A2" sqref="A2"/>
    </sheetView>
  </sheetViews>
  <sheetFormatPr defaultColWidth="9" defaultRowHeight="15" x14ac:dyDescent="0.25"/>
  <cols>
    <col min="1" max="1" width="17.625" style="7" customWidth="1"/>
    <col min="2" max="2" width="10.375" style="7" bestFit="1" customWidth="1"/>
    <col min="3" max="3" width="22.5" style="7" bestFit="1" customWidth="1"/>
    <col min="4" max="4" width="13.125" style="7" bestFit="1" customWidth="1"/>
    <col min="5" max="5" width="14.75" style="7" bestFit="1" customWidth="1"/>
    <col min="6" max="6" width="14" style="7" bestFit="1" customWidth="1"/>
    <col min="7" max="7" width="5.375" style="7" bestFit="1" customWidth="1"/>
    <col min="8" max="8" width="21" style="7" bestFit="1" customWidth="1"/>
    <col min="9" max="9" width="11.875" style="7" bestFit="1" customWidth="1"/>
    <col min="10" max="10" width="7.625" style="7" customWidth="1"/>
    <col min="11" max="11" width="14.75" style="7" bestFit="1" customWidth="1"/>
    <col min="12" max="12" width="12.125" style="7" bestFit="1" customWidth="1"/>
    <col min="13" max="13" width="12.375" style="7" bestFit="1" customWidth="1"/>
    <col min="14" max="14" width="11.875" style="7" customWidth="1"/>
    <col min="15" max="15" width="13.75" style="7" bestFit="1" customWidth="1"/>
    <col min="16" max="16" width="19.75" style="7" bestFit="1" customWidth="1"/>
    <col min="17" max="17" width="11.875" style="7" bestFit="1" customWidth="1"/>
    <col min="18" max="18" width="12.375" style="7" bestFit="1" customWidth="1"/>
    <col min="19" max="19" width="20.375" style="7" bestFit="1" customWidth="1"/>
    <col min="20" max="16384" width="9" style="7"/>
  </cols>
  <sheetData>
    <row r="1" spans="1:18" ht="18.75" x14ac:dyDescent="0.25">
      <c r="A1" s="40" t="s">
        <v>169</v>
      </c>
      <c r="B1" s="40" t="s">
        <v>1</v>
      </c>
      <c r="C1" s="89" t="s">
        <v>186</v>
      </c>
      <c r="D1" s="89" t="s">
        <v>162</v>
      </c>
      <c r="E1" s="89" t="s">
        <v>170</v>
      </c>
      <c r="F1" s="89" t="s">
        <v>3</v>
      </c>
      <c r="G1" s="89" t="s">
        <v>0</v>
      </c>
      <c r="H1" s="89" t="s">
        <v>193</v>
      </c>
      <c r="I1" s="40" t="s">
        <v>187</v>
      </c>
    </row>
    <row r="2" spans="1:18" ht="18.75" x14ac:dyDescent="0.25">
      <c r="A2" s="38" t="s">
        <v>188</v>
      </c>
      <c r="B2" s="38" t="s">
        <v>47</v>
      </c>
      <c r="C2" s="39">
        <v>70</v>
      </c>
      <c r="D2" s="39">
        <v>76.5</v>
      </c>
      <c r="E2" s="39" t="s">
        <v>189</v>
      </c>
      <c r="F2" s="39" t="s">
        <v>194</v>
      </c>
      <c r="G2" s="39">
        <v>32</v>
      </c>
      <c r="H2" s="90">
        <f>76.5/7.95</f>
        <v>9.6226415094339615</v>
      </c>
      <c r="I2" s="38" t="s">
        <v>195</v>
      </c>
    </row>
    <row r="3" spans="1:18" ht="18.75" x14ac:dyDescent="0.25">
      <c r="A3" s="38" t="s">
        <v>430</v>
      </c>
      <c r="B3" s="38" t="s">
        <v>166</v>
      </c>
      <c r="C3" s="39">
        <v>65</v>
      </c>
      <c r="D3" s="39">
        <v>71.25</v>
      </c>
      <c r="E3" s="39" t="s">
        <v>434</v>
      </c>
      <c r="F3" s="39" t="s">
        <v>435</v>
      </c>
      <c r="G3" s="39">
        <v>26</v>
      </c>
      <c r="H3" s="90">
        <f>71.25/8.16</f>
        <v>8.7316176470588243</v>
      </c>
      <c r="I3" s="38" t="s">
        <v>195</v>
      </c>
    </row>
    <row r="4" spans="1:18" ht="15" customHeight="1" x14ac:dyDescent="0.25"/>
    <row r="5" spans="1:18" ht="15" customHeight="1" x14ac:dyDescent="0.25"/>
    <row r="7" spans="1:18" ht="15" customHeight="1" x14ac:dyDescent="0.25"/>
    <row r="8" spans="1:18" ht="36" customHeight="1" x14ac:dyDescent="0.25"/>
    <row r="9" spans="1:18" ht="15" customHeight="1" x14ac:dyDescent="0.25">
      <c r="N9" s="13"/>
      <c r="O9" s="13"/>
      <c r="P9" s="13"/>
      <c r="Q9" s="13"/>
      <c r="R9" s="13"/>
    </row>
    <row r="10" spans="1:18" ht="15" customHeight="1" x14ac:dyDescent="0.25"/>
    <row r="11" spans="1:18" ht="15" customHeight="1" x14ac:dyDescent="0.25"/>
    <row r="14" spans="1:18" ht="19.5" customHeight="1" x14ac:dyDescent="0.25"/>
    <row r="16" spans="1:18" ht="18.75" customHeight="1" x14ac:dyDescent="0.25"/>
    <row r="22" ht="29.1" customHeight="1" x14ac:dyDescent="0.25"/>
    <row r="23" ht="18.75" customHeight="1" x14ac:dyDescent="0.25"/>
    <row r="25" ht="25.5" customHeight="1" x14ac:dyDescent="0.25"/>
    <row r="26" ht="20.25" customHeight="1" x14ac:dyDescent="0.25"/>
    <row r="27" ht="21" customHeight="1" x14ac:dyDescent="0.25"/>
    <row r="28" ht="18.75" customHeight="1" x14ac:dyDescent="0.25"/>
    <row r="30" ht="15" customHeight="1" x14ac:dyDescent="0.25"/>
    <row r="31" ht="15" customHeight="1" x14ac:dyDescent="0.25"/>
    <row r="32" ht="15" customHeight="1" x14ac:dyDescent="0.25"/>
    <row r="33" ht="15" customHeight="1" x14ac:dyDescent="0.25"/>
    <row r="34" ht="21.75" customHeight="1" x14ac:dyDescent="0.25"/>
  </sheetData>
  <phoneticPr fontId="21"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BCDD-5852-4814-8599-527938C33771}">
  <sheetPr codeName="Sheet8"/>
  <dimension ref="A1:Z12"/>
  <sheetViews>
    <sheetView zoomScale="87" zoomScaleNormal="77" workbookViewId="0">
      <selection activeCell="K25" sqref="K25:K26"/>
    </sheetView>
  </sheetViews>
  <sheetFormatPr defaultColWidth="9" defaultRowHeight="15" x14ac:dyDescent="0.25"/>
  <cols>
    <col min="1" max="1" width="8.625" style="7" bestFit="1" customWidth="1"/>
    <col min="2" max="2" width="15.625" style="7" bestFit="1" customWidth="1"/>
    <col min="3" max="3" width="8.75" style="7" bestFit="1" customWidth="1"/>
    <col min="4" max="4" width="25.75" style="7" bestFit="1" customWidth="1"/>
    <col min="5" max="5" width="125.5" style="7" bestFit="1" customWidth="1"/>
    <col min="6" max="6" width="9" style="7"/>
    <col min="7" max="7" width="8" style="7" bestFit="1" customWidth="1"/>
    <col min="8" max="8" width="8.125" style="7" bestFit="1" customWidth="1"/>
    <col min="9" max="9" width="7.75" style="7" bestFit="1" customWidth="1"/>
    <col min="10" max="10" width="9.125" style="7" bestFit="1" customWidth="1"/>
    <col min="11" max="11" width="22.875" style="7" bestFit="1" customWidth="1"/>
    <col min="12" max="16384" width="9" style="7"/>
  </cols>
  <sheetData>
    <row r="1" spans="1:26" ht="36.75" customHeight="1" x14ac:dyDescent="0.25">
      <c r="A1" s="98" t="s">
        <v>1</v>
      </c>
      <c r="B1" s="98" t="s">
        <v>169</v>
      </c>
      <c r="C1" s="99" t="s">
        <v>162</v>
      </c>
      <c r="D1" s="98" t="s">
        <v>645</v>
      </c>
      <c r="E1" s="98" t="s">
        <v>646</v>
      </c>
    </row>
    <row r="2" spans="1:26" ht="15" customHeight="1" x14ac:dyDescent="0.25">
      <c r="A2" s="22" t="s">
        <v>11</v>
      </c>
      <c r="B2" s="22" t="s">
        <v>41</v>
      </c>
      <c r="C2" s="100">
        <f>_xlfn.XLOOKUP(B2,'Tactical Analysis'!$A$2:$A$25,'Tactical Analysis'!$X$2:$X$25)</f>
        <v>65</v>
      </c>
      <c r="D2" s="22" t="s">
        <v>178</v>
      </c>
      <c r="E2" s="22" t="s">
        <v>648</v>
      </c>
      <c r="Z2" s="91"/>
    </row>
    <row r="3" spans="1:26" ht="14.25" customHeight="1" x14ac:dyDescent="0.25">
      <c r="A3" s="22" t="s">
        <v>649</v>
      </c>
      <c r="B3" s="22" t="s">
        <v>107</v>
      </c>
      <c r="C3" s="100">
        <f>_xlfn.XLOOKUP(B3,'Tactical Analysis'!$A$2:$A$25,'Tactical Analysis'!$X$2:$X$25)</f>
        <v>61.499999999999993</v>
      </c>
      <c r="D3" s="22" t="s">
        <v>650</v>
      </c>
      <c r="E3" s="22" t="s">
        <v>651</v>
      </c>
      <c r="Z3" s="91"/>
    </row>
    <row r="4" spans="1:26" ht="14.25" customHeight="1" x14ac:dyDescent="0.25">
      <c r="A4" s="22" t="s">
        <v>647</v>
      </c>
      <c r="B4" s="22" t="s">
        <v>48</v>
      </c>
      <c r="C4" s="100">
        <f>_xlfn.XLOOKUP(B4,'Tactical Analysis'!$A$2:$A$25,'Tactical Analysis'!$X$2:$X$25)</f>
        <v>61.750000000000007</v>
      </c>
      <c r="D4" s="22" t="s">
        <v>652</v>
      </c>
      <c r="E4" s="22" t="s">
        <v>653</v>
      </c>
      <c r="Z4" s="91"/>
    </row>
    <row r="5" spans="1:26" ht="14.25" customHeight="1" x14ac:dyDescent="0.25">
      <c r="A5" s="22" t="s">
        <v>647</v>
      </c>
      <c r="B5" s="22" t="s">
        <v>188</v>
      </c>
      <c r="C5" s="100">
        <f>_xlfn.XLOOKUP(B5,'Tactical Analysis'!$A$2:$A$25,'Tactical Analysis'!$X$2:$X$25)</f>
        <v>76.5</v>
      </c>
      <c r="D5" s="22" t="s">
        <v>654</v>
      </c>
      <c r="E5" s="22" t="s">
        <v>655</v>
      </c>
      <c r="Z5" s="91"/>
    </row>
    <row r="6" spans="1:26" ht="14.25" customHeight="1" x14ac:dyDescent="0.25">
      <c r="A6" s="22" t="s">
        <v>656</v>
      </c>
      <c r="B6" s="22" t="s">
        <v>45</v>
      </c>
      <c r="C6" s="100">
        <f>_xlfn.XLOOKUP(B6,'Tactical Analysis'!$A$2:$A$25,'Tactical Analysis'!$X$2:$X$25)</f>
        <v>63.250000000000014</v>
      </c>
      <c r="D6" s="22" t="s">
        <v>657</v>
      </c>
      <c r="E6" s="22" t="s">
        <v>658</v>
      </c>
    </row>
    <row r="7" spans="1:26" ht="14.25" customHeight="1" x14ac:dyDescent="0.25">
      <c r="A7" s="22" t="s">
        <v>12</v>
      </c>
      <c r="B7" s="22" t="s">
        <v>54</v>
      </c>
      <c r="C7" s="100">
        <f>_xlfn.XLOOKUP(B7,'Tactical Analysis'!$A$2:$A$25,'Tactical Analysis'!$X$2:$X$25)</f>
        <v>69.75</v>
      </c>
      <c r="D7" s="22" t="s">
        <v>659</v>
      </c>
      <c r="E7" s="22" t="s">
        <v>660</v>
      </c>
    </row>
    <row r="8" spans="1:26" x14ac:dyDescent="0.25">
      <c r="A8" s="22" t="s">
        <v>661</v>
      </c>
      <c r="B8" s="22" t="s">
        <v>57</v>
      </c>
      <c r="C8" s="100">
        <f>_xlfn.XLOOKUP(B8,'Tactical Analysis'!$A$2:$A$25,'Tactical Analysis'!$X$2:$X$25)</f>
        <v>65.25</v>
      </c>
      <c r="D8" s="22" t="s">
        <v>662</v>
      </c>
      <c r="E8" s="22" t="s">
        <v>664</v>
      </c>
    </row>
    <row r="9" spans="1:26" x14ac:dyDescent="0.25">
      <c r="A9" s="22" t="s">
        <v>661</v>
      </c>
      <c r="B9" s="22" t="s">
        <v>52</v>
      </c>
      <c r="C9" s="100">
        <f>_xlfn.XLOOKUP(B9,'Tactical Analysis'!$A$2:$A$25,'Tactical Analysis'!$X$2:$X$25)</f>
        <v>68</v>
      </c>
      <c r="D9" s="22" t="s">
        <v>663</v>
      </c>
      <c r="E9" s="7" t="s">
        <v>674</v>
      </c>
    </row>
    <row r="10" spans="1:26" x14ac:dyDescent="0.25">
      <c r="A10" s="22" t="s">
        <v>665</v>
      </c>
      <c r="B10" s="22" t="s">
        <v>112</v>
      </c>
      <c r="C10" s="100">
        <f>_xlfn.XLOOKUP(B10,'Tactical Analysis'!$A$2:$A$25,'Tactical Analysis'!$X$2:$X$25)</f>
        <v>62.5</v>
      </c>
      <c r="D10" s="22" t="s">
        <v>666</v>
      </c>
      <c r="E10" s="22" t="s">
        <v>667</v>
      </c>
    </row>
    <row r="11" spans="1:26" ht="15" customHeight="1" x14ac:dyDescent="0.25">
      <c r="A11" s="22" t="s">
        <v>668</v>
      </c>
      <c r="B11" s="22" t="s">
        <v>430</v>
      </c>
      <c r="C11" s="100">
        <f>_xlfn.XLOOKUP(B11,'Tactical Analysis'!$A$2:$A$25,'Tactical Analysis'!$X$2:$X$25)</f>
        <v>71.25</v>
      </c>
      <c r="D11" s="22" t="s">
        <v>669</v>
      </c>
      <c r="E11" s="22" t="s">
        <v>670</v>
      </c>
    </row>
    <row r="12" spans="1:26" ht="15" customHeight="1" x14ac:dyDescent="0.25">
      <c r="A12" s="22" t="s">
        <v>13</v>
      </c>
      <c r="B12" s="22" t="s">
        <v>61</v>
      </c>
      <c r="C12" s="100">
        <f>_xlfn.XLOOKUP(B12,'Tactical Analysis'!$A$2:$A$25,'Tactical Analysis'!$X$2:$X$25)</f>
        <v>70.75</v>
      </c>
      <c r="D12" s="22" t="s">
        <v>671</v>
      </c>
      <c r="E12" s="22" t="s">
        <v>672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2C3B-33DD-4C3B-BFEA-3CC6C357D963}">
  <sheetPr codeName="Sheet9"/>
  <dimension ref="A1:S358"/>
  <sheetViews>
    <sheetView zoomScale="99" zoomScaleNormal="100" workbookViewId="0">
      <selection activeCell="F32" sqref="F32"/>
    </sheetView>
  </sheetViews>
  <sheetFormatPr defaultColWidth="8.625" defaultRowHeight="15" x14ac:dyDescent="0.25"/>
  <cols>
    <col min="1" max="1" width="16.5" style="7" bestFit="1" customWidth="1"/>
    <col min="2" max="2" width="16.75" style="7" bestFit="1" customWidth="1"/>
    <col min="3" max="3" width="28.625" style="7" bestFit="1" customWidth="1"/>
    <col min="4" max="4" width="20.75" style="7" bestFit="1" customWidth="1"/>
    <col min="5" max="5" width="21.5" style="7" bestFit="1" customWidth="1"/>
    <col min="6" max="6" width="33.375" style="7" bestFit="1" customWidth="1"/>
    <col min="7" max="7" width="118.75" bestFit="1" customWidth="1"/>
    <col min="8" max="8" width="109.5" style="7" bestFit="1" customWidth="1"/>
    <col min="9" max="9" width="106.75" style="7" bestFit="1" customWidth="1"/>
    <col min="10" max="10" width="56.5" style="7" bestFit="1" customWidth="1"/>
    <col min="11" max="11" width="116.5" style="7" bestFit="1" customWidth="1"/>
    <col min="12" max="16384" width="8.625" style="7"/>
  </cols>
  <sheetData>
    <row r="1" spans="1:19" ht="24" x14ac:dyDescent="0.25">
      <c r="A1" s="92" t="s">
        <v>224</v>
      </c>
      <c r="B1" s="92" t="s">
        <v>225</v>
      </c>
      <c r="C1" s="92" t="s">
        <v>226</v>
      </c>
      <c r="D1" s="92" t="s">
        <v>227</v>
      </c>
      <c r="E1" s="92" t="s">
        <v>228</v>
      </c>
      <c r="F1" s="92" t="s">
        <v>229</v>
      </c>
      <c r="G1" s="92" t="s">
        <v>230</v>
      </c>
      <c r="H1" s="92" t="s">
        <v>231</v>
      </c>
      <c r="I1" s="92" t="s">
        <v>625</v>
      </c>
      <c r="J1" s="92" t="s">
        <v>103</v>
      </c>
      <c r="K1" s="92" t="s">
        <v>447</v>
      </c>
    </row>
    <row r="2" spans="1:19" ht="15" customHeight="1" x14ac:dyDescent="0.25">
      <c r="A2" s="43" t="s">
        <v>236</v>
      </c>
      <c r="B2" s="44" t="s">
        <v>444</v>
      </c>
      <c r="C2" s="43" t="s">
        <v>234</v>
      </c>
      <c r="D2" s="43" t="s">
        <v>235</v>
      </c>
      <c r="E2" s="43" t="s">
        <v>238</v>
      </c>
      <c r="F2" s="43" t="s">
        <v>239</v>
      </c>
      <c r="G2" s="43" t="s">
        <v>240</v>
      </c>
      <c r="H2" s="68" t="s">
        <v>623</v>
      </c>
      <c r="I2" s="43" t="s">
        <v>327</v>
      </c>
      <c r="J2" s="43" t="s">
        <v>461</v>
      </c>
      <c r="K2" s="43" t="s">
        <v>445</v>
      </c>
    </row>
    <row r="3" spans="1:19" x14ac:dyDescent="0.25">
      <c r="A3" s="43" t="s">
        <v>262</v>
      </c>
      <c r="B3" s="44" t="s">
        <v>269</v>
      </c>
      <c r="C3" s="43" t="s">
        <v>234</v>
      </c>
      <c r="D3" s="43" t="s">
        <v>264</v>
      </c>
      <c r="E3" s="43" t="s">
        <v>265</v>
      </c>
      <c r="F3" s="43" t="s">
        <v>456</v>
      </c>
      <c r="G3" s="43" t="s">
        <v>267</v>
      </c>
      <c r="H3" s="43" t="s">
        <v>624</v>
      </c>
      <c r="I3" s="43" t="s">
        <v>626</v>
      </c>
      <c r="J3" s="43" t="s">
        <v>457</v>
      </c>
      <c r="K3" s="43" t="s">
        <v>462</v>
      </c>
    </row>
    <row r="4" spans="1:19" x14ac:dyDescent="0.25">
      <c r="A4" s="43" t="s">
        <v>277</v>
      </c>
      <c r="B4" s="44" t="s">
        <v>278</v>
      </c>
      <c r="C4" s="43" t="s">
        <v>234</v>
      </c>
      <c r="D4" s="43" t="s">
        <v>264</v>
      </c>
      <c r="E4" s="43" t="s">
        <v>279</v>
      </c>
      <c r="F4" s="43" t="s">
        <v>280</v>
      </c>
      <c r="G4" s="43" t="s">
        <v>281</v>
      </c>
      <c r="H4" s="43" t="s">
        <v>282</v>
      </c>
      <c r="I4" s="43" t="s">
        <v>626</v>
      </c>
      <c r="J4" s="43" t="s">
        <v>276</v>
      </c>
      <c r="K4" s="43" t="s">
        <v>465</v>
      </c>
    </row>
    <row r="5" spans="1:19" x14ac:dyDescent="0.25">
      <c r="A5" s="43" t="s">
        <v>287</v>
      </c>
      <c r="B5" s="44" t="s">
        <v>237</v>
      </c>
      <c r="C5" s="43" t="s">
        <v>317</v>
      </c>
      <c r="D5" s="43" t="s">
        <v>264</v>
      </c>
      <c r="E5" s="43" t="s">
        <v>279</v>
      </c>
      <c r="F5" s="43" t="s">
        <v>289</v>
      </c>
      <c r="G5" s="43" t="s">
        <v>290</v>
      </c>
      <c r="H5" s="43" t="s">
        <v>291</v>
      </c>
      <c r="I5" s="43" t="s">
        <v>627</v>
      </c>
      <c r="J5" s="43" t="s">
        <v>292</v>
      </c>
      <c r="K5" s="43" t="s">
        <v>467</v>
      </c>
    </row>
    <row r="6" spans="1:19" x14ac:dyDescent="0.25">
      <c r="A6" s="43" t="s">
        <v>298</v>
      </c>
      <c r="B6" s="44" t="s">
        <v>263</v>
      </c>
      <c r="C6" s="43" t="s">
        <v>288</v>
      </c>
      <c r="D6" s="43" t="s">
        <v>299</v>
      </c>
      <c r="E6" s="43" t="s">
        <v>265</v>
      </c>
      <c r="F6" s="43" t="s">
        <v>300</v>
      </c>
      <c r="G6" s="43" t="s">
        <v>301</v>
      </c>
      <c r="H6" s="43" t="s">
        <v>302</v>
      </c>
      <c r="I6" s="43" t="s">
        <v>627</v>
      </c>
      <c r="J6" s="43" t="s">
        <v>292</v>
      </c>
      <c r="K6" s="43" t="s">
        <v>198</v>
      </c>
    </row>
    <row r="7" spans="1:19" x14ac:dyDescent="0.25">
      <c r="A7" s="43" t="s">
        <v>314</v>
      </c>
      <c r="B7" s="44" t="s">
        <v>269</v>
      </c>
      <c r="C7" s="43" t="s">
        <v>234</v>
      </c>
      <c r="D7" s="43" t="s">
        <v>317</v>
      </c>
      <c r="E7" s="43" t="s">
        <v>316</v>
      </c>
      <c r="F7" s="43" t="s">
        <v>315</v>
      </c>
      <c r="G7" s="43" t="s">
        <v>318</v>
      </c>
      <c r="H7" s="43" t="s">
        <v>319</v>
      </c>
      <c r="I7" s="43" t="s">
        <v>327</v>
      </c>
      <c r="J7" s="43" t="s">
        <v>466</v>
      </c>
      <c r="K7" s="43" t="s">
        <v>198</v>
      </c>
    </row>
    <row r="8" spans="1:19" x14ac:dyDescent="0.25">
      <c r="A8" s="43" t="s">
        <v>323</v>
      </c>
      <c r="B8" s="44" t="s">
        <v>263</v>
      </c>
      <c r="C8" s="43" t="s">
        <v>288</v>
      </c>
      <c r="D8" s="43" t="s">
        <v>324</v>
      </c>
      <c r="E8" s="43" t="s">
        <v>265</v>
      </c>
      <c r="F8" s="43" t="s">
        <v>325</v>
      </c>
      <c r="G8" s="43" t="s">
        <v>290</v>
      </c>
      <c r="H8" s="43" t="s">
        <v>326</v>
      </c>
      <c r="I8" s="43" t="s">
        <v>627</v>
      </c>
      <c r="J8" s="43" t="s">
        <v>470</v>
      </c>
      <c r="K8" s="43" t="s">
        <v>471</v>
      </c>
    </row>
    <row r="9" spans="1:19" x14ac:dyDescent="0.25">
      <c r="A9" s="43" t="s">
        <v>331</v>
      </c>
      <c r="B9" s="44" t="s">
        <v>237</v>
      </c>
      <c r="C9" s="43" t="s">
        <v>288</v>
      </c>
      <c r="D9" s="43" t="s">
        <v>264</v>
      </c>
      <c r="E9" s="43" t="s">
        <v>265</v>
      </c>
      <c r="F9" s="43" t="s">
        <v>332</v>
      </c>
      <c r="G9" s="43" t="s">
        <v>338</v>
      </c>
      <c r="H9" s="43" t="s">
        <v>339</v>
      </c>
      <c r="I9" s="43" t="s">
        <v>327</v>
      </c>
      <c r="J9" s="43" t="s">
        <v>472</v>
      </c>
      <c r="K9" s="43" t="s">
        <v>473</v>
      </c>
    </row>
    <row r="10" spans="1:19" ht="15.75" customHeight="1" x14ac:dyDescent="0.25">
      <c r="A10" s="43" t="s">
        <v>340</v>
      </c>
      <c r="B10" s="44" t="s">
        <v>278</v>
      </c>
      <c r="C10" s="43" t="s">
        <v>288</v>
      </c>
      <c r="D10" s="43" t="s">
        <v>264</v>
      </c>
      <c r="E10" s="43" t="s">
        <v>279</v>
      </c>
      <c r="F10" s="43" t="s">
        <v>341</v>
      </c>
      <c r="G10" s="43" t="s">
        <v>342</v>
      </c>
      <c r="H10" s="43" t="s">
        <v>343</v>
      </c>
      <c r="I10" s="43" t="s">
        <v>327</v>
      </c>
      <c r="J10" s="43" t="s">
        <v>472</v>
      </c>
      <c r="K10" s="43" t="s">
        <v>476</v>
      </c>
      <c r="L10" s="45"/>
      <c r="M10" s="45"/>
      <c r="N10" s="45"/>
      <c r="O10" s="45"/>
      <c r="P10" s="45"/>
      <c r="Q10" s="45"/>
      <c r="R10" s="45"/>
      <c r="S10" s="45"/>
    </row>
    <row r="11" spans="1:19" x14ac:dyDescent="0.25">
      <c r="A11" s="43" t="s">
        <v>412</v>
      </c>
      <c r="B11" s="44" t="s">
        <v>263</v>
      </c>
      <c r="C11" s="43" t="s">
        <v>288</v>
      </c>
      <c r="D11" s="43" t="s">
        <v>264</v>
      </c>
      <c r="E11" s="43" t="s">
        <v>279</v>
      </c>
      <c r="F11" s="43" t="s">
        <v>350</v>
      </c>
      <c r="G11" s="43" t="s">
        <v>351</v>
      </c>
      <c r="H11" s="43" t="s">
        <v>352</v>
      </c>
      <c r="I11" s="43" t="s">
        <v>626</v>
      </c>
      <c r="J11" s="43" t="s">
        <v>628</v>
      </c>
      <c r="K11" s="43" t="s">
        <v>476</v>
      </c>
    </row>
    <row r="12" spans="1:19" ht="15" customHeight="1" x14ac:dyDescent="0.25">
      <c r="A12" s="43" t="s">
        <v>353</v>
      </c>
      <c r="B12" s="44" t="s">
        <v>354</v>
      </c>
      <c r="C12" s="43" t="s">
        <v>288</v>
      </c>
      <c r="D12" s="43" t="s">
        <v>264</v>
      </c>
      <c r="E12" s="43" t="s">
        <v>279</v>
      </c>
      <c r="F12" s="43" t="s">
        <v>355</v>
      </c>
      <c r="G12" s="43" t="s">
        <v>356</v>
      </c>
      <c r="H12" s="43" t="s">
        <v>357</v>
      </c>
      <c r="I12" s="43" t="s">
        <v>359</v>
      </c>
      <c r="J12" s="43" t="s">
        <v>358</v>
      </c>
      <c r="K12" s="43" t="s">
        <v>464</v>
      </c>
    </row>
    <row r="13" spans="1:19" ht="15" customHeight="1" x14ac:dyDescent="0.25">
      <c r="A13" s="43" t="s">
        <v>366</v>
      </c>
      <c r="B13" s="44" t="s">
        <v>263</v>
      </c>
      <c r="C13" s="43" t="s">
        <v>367</v>
      </c>
      <c r="D13" s="43" t="s">
        <v>264</v>
      </c>
      <c r="E13" s="43" t="s">
        <v>316</v>
      </c>
      <c r="F13" s="43" t="s">
        <v>368</v>
      </c>
      <c r="G13" s="43" t="s">
        <v>369</v>
      </c>
      <c r="H13" s="43" t="s">
        <v>370</v>
      </c>
      <c r="I13" s="43" t="s">
        <v>371</v>
      </c>
      <c r="J13" s="43" t="s">
        <v>489</v>
      </c>
      <c r="K13" s="43" t="s">
        <v>464</v>
      </c>
    </row>
    <row r="14" spans="1:19" x14ac:dyDescent="0.25">
      <c r="A14" s="43" t="s">
        <v>373</v>
      </c>
      <c r="B14" s="44" t="s">
        <v>263</v>
      </c>
      <c r="C14" s="43" t="s">
        <v>288</v>
      </c>
      <c r="D14" s="43" t="s">
        <v>264</v>
      </c>
      <c r="E14" s="43" t="s">
        <v>316</v>
      </c>
      <c r="F14" s="43" t="s">
        <v>374</v>
      </c>
      <c r="G14" s="43" t="s">
        <v>375</v>
      </c>
      <c r="H14" s="43" t="s">
        <v>376</v>
      </c>
      <c r="I14" s="43" t="s">
        <v>371</v>
      </c>
      <c r="J14" s="43" t="s">
        <v>492</v>
      </c>
      <c r="K14" s="43" t="s">
        <v>491</v>
      </c>
    </row>
    <row r="15" spans="1:19" x14ac:dyDescent="0.25">
      <c r="A15" s="43" t="s">
        <v>391</v>
      </c>
      <c r="B15" s="44" t="s">
        <v>263</v>
      </c>
      <c r="C15" s="43" t="s">
        <v>288</v>
      </c>
      <c r="D15" s="43" t="s">
        <v>264</v>
      </c>
      <c r="E15" s="43" t="s">
        <v>316</v>
      </c>
      <c r="F15" s="43" t="s">
        <v>392</v>
      </c>
      <c r="G15" s="43" t="s">
        <v>393</v>
      </c>
      <c r="H15" s="43" t="s">
        <v>394</v>
      </c>
      <c r="I15" s="43" t="s">
        <v>371</v>
      </c>
      <c r="J15" s="43" t="s">
        <v>492</v>
      </c>
      <c r="K15" s="43" t="s">
        <v>491</v>
      </c>
    </row>
    <row r="16" spans="1:19" ht="15" customHeight="1" x14ac:dyDescent="0.25">
      <c r="A16" s="43" t="s">
        <v>397</v>
      </c>
      <c r="B16" s="44" t="s">
        <v>263</v>
      </c>
      <c r="C16" s="43" t="s">
        <v>288</v>
      </c>
      <c r="D16" s="8" t="s">
        <v>398</v>
      </c>
      <c r="E16" s="43" t="s">
        <v>265</v>
      </c>
      <c r="F16" s="43" t="s">
        <v>399</v>
      </c>
      <c r="G16" s="68" t="s">
        <v>632</v>
      </c>
      <c r="H16" s="43" t="s">
        <v>400</v>
      </c>
      <c r="I16" s="43" t="s">
        <v>359</v>
      </c>
      <c r="J16" s="43" t="s">
        <v>497</v>
      </c>
      <c r="K16" s="43" t="s">
        <v>498</v>
      </c>
    </row>
    <row r="17" spans="1:11" x14ac:dyDescent="0.25">
      <c r="A17" s="43" t="s">
        <v>411</v>
      </c>
      <c r="B17" s="44" t="s">
        <v>269</v>
      </c>
      <c r="C17" s="43" t="s">
        <v>406</v>
      </c>
      <c r="D17" s="8" t="s">
        <v>407</v>
      </c>
      <c r="E17" s="43" t="s">
        <v>316</v>
      </c>
      <c r="F17" s="43" t="s">
        <v>408</v>
      </c>
      <c r="G17" s="68" t="s">
        <v>409</v>
      </c>
      <c r="H17" s="43" t="s">
        <v>410</v>
      </c>
      <c r="I17" s="43" t="s">
        <v>371</v>
      </c>
      <c r="J17" s="43" t="s">
        <v>501</v>
      </c>
      <c r="K17" s="43" t="s">
        <v>493</v>
      </c>
    </row>
    <row r="18" spans="1:11" x14ac:dyDescent="0.25">
      <c r="A18" s="43" t="s">
        <v>420</v>
      </c>
      <c r="B18" s="44" t="s">
        <v>278</v>
      </c>
      <c r="C18" s="43" t="s">
        <v>288</v>
      </c>
      <c r="D18" s="43" t="s">
        <v>264</v>
      </c>
      <c r="E18" s="43" t="s">
        <v>316</v>
      </c>
      <c r="F18" s="43" t="s">
        <v>421</v>
      </c>
      <c r="G18" s="43" t="s">
        <v>422</v>
      </c>
      <c r="H18" s="43" t="s">
        <v>423</v>
      </c>
      <c r="I18" s="43" t="s">
        <v>327</v>
      </c>
      <c r="J18" s="43" t="s">
        <v>500</v>
      </c>
      <c r="K18" s="43" t="s">
        <v>499</v>
      </c>
    </row>
    <row r="19" spans="1:11" x14ac:dyDescent="0.25">
      <c r="A19" s="43" t="s">
        <v>437</v>
      </c>
      <c r="B19" s="44" t="s">
        <v>263</v>
      </c>
      <c r="C19" s="43" t="s">
        <v>288</v>
      </c>
      <c r="D19" s="43" t="s">
        <v>438</v>
      </c>
      <c r="E19" s="43" t="s">
        <v>265</v>
      </c>
      <c r="F19" s="43" t="s">
        <v>439</v>
      </c>
      <c r="G19" s="68" t="s">
        <v>440</v>
      </c>
      <c r="H19" s="43" t="s">
        <v>441</v>
      </c>
      <c r="I19" s="43" t="s">
        <v>371</v>
      </c>
      <c r="J19" s="43" t="s">
        <v>470</v>
      </c>
      <c r="K19" s="43" t="s">
        <v>463</v>
      </c>
    </row>
    <row r="20" spans="1:11" x14ac:dyDescent="0.25">
      <c r="A20" s="43" t="s">
        <v>446</v>
      </c>
      <c r="B20" s="44" t="s">
        <v>263</v>
      </c>
      <c r="C20" s="43" t="s">
        <v>367</v>
      </c>
      <c r="D20" s="43" t="s">
        <v>438</v>
      </c>
      <c r="E20" s="43" t="s">
        <v>265</v>
      </c>
      <c r="F20" s="43" t="s">
        <v>629</v>
      </c>
      <c r="G20" s="22" t="s">
        <v>630</v>
      </c>
      <c r="H20" s="43" t="s">
        <v>631</v>
      </c>
      <c r="I20" s="43" t="s">
        <v>266</v>
      </c>
      <c r="J20" s="43" t="s">
        <v>276</v>
      </c>
      <c r="K20" s="43" t="s">
        <v>448</v>
      </c>
    </row>
    <row r="21" spans="1:11" x14ac:dyDescent="0.25">
      <c r="G21" s="7"/>
    </row>
    <row r="22" spans="1:11" x14ac:dyDescent="0.25">
      <c r="G22" s="7"/>
    </row>
    <row r="24" spans="1:11" x14ac:dyDescent="0.25">
      <c r="G24" s="7"/>
    </row>
    <row r="25" spans="1:11" x14ac:dyDescent="0.25">
      <c r="G25" s="7"/>
    </row>
    <row r="26" spans="1:11" x14ac:dyDescent="0.25">
      <c r="G26" s="7"/>
    </row>
    <row r="27" spans="1:11" x14ac:dyDescent="0.25">
      <c r="G27" s="7"/>
    </row>
    <row r="28" spans="1:11" x14ac:dyDescent="0.25">
      <c r="G28" s="7"/>
    </row>
    <row r="29" spans="1:11" x14ac:dyDescent="0.25">
      <c r="G29" s="7"/>
    </row>
    <row r="30" spans="1:11" x14ac:dyDescent="0.25">
      <c r="G30" s="7"/>
    </row>
    <row r="31" spans="1:11" x14ac:dyDescent="0.25">
      <c r="G31" s="7"/>
    </row>
    <row r="32" spans="1:11" x14ac:dyDescent="0.25">
      <c r="G32" s="7"/>
    </row>
    <row r="33" spans="7:7" x14ac:dyDescent="0.25">
      <c r="G33" s="7"/>
    </row>
    <row r="34" spans="7:7" x14ac:dyDescent="0.25">
      <c r="G34" s="7"/>
    </row>
    <row r="35" spans="7:7" x14ac:dyDescent="0.25">
      <c r="G35" s="7"/>
    </row>
    <row r="36" spans="7:7" x14ac:dyDescent="0.25">
      <c r="G36" s="7"/>
    </row>
    <row r="37" spans="7:7" x14ac:dyDescent="0.25">
      <c r="G37" s="7"/>
    </row>
    <row r="39" spans="7:7" x14ac:dyDescent="0.25">
      <c r="G39" s="7"/>
    </row>
    <row r="40" spans="7:7" x14ac:dyDescent="0.25">
      <c r="G40" s="7"/>
    </row>
    <row r="41" spans="7:7" x14ac:dyDescent="0.25">
      <c r="G41" s="7"/>
    </row>
    <row r="42" spans="7:7" x14ac:dyDescent="0.25">
      <c r="G42" s="7"/>
    </row>
    <row r="43" spans="7:7" x14ac:dyDescent="0.25">
      <c r="G43" s="7"/>
    </row>
    <row r="44" spans="7:7" x14ac:dyDescent="0.25">
      <c r="G44" s="7"/>
    </row>
    <row r="45" spans="7:7" x14ac:dyDescent="0.25">
      <c r="G45" s="7"/>
    </row>
    <row r="46" spans="7:7" x14ac:dyDescent="0.25">
      <c r="G46" s="7"/>
    </row>
    <row r="47" spans="7:7" x14ac:dyDescent="0.25">
      <c r="G47" s="7"/>
    </row>
    <row r="48" spans="7:7" x14ac:dyDescent="0.25">
      <c r="G48" s="7"/>
    </row>
    <row r="49" spans="7:7" x14ac:dyDescent="0.25">
      <c r="G49" s="7"/>
    </row>
    <row r="50" spans="7:7" x14ac:dyDescent="0.25">
      <c r="G50" s="7"/>
    </row>
    <row r="51" spans="7:7" x14ac:dyDescent="0.25">
      <c r="G51" s="7"/>
    </row>
    <row r="52" spans="7:7" x14ac:dyDescent="0.25">
      <c r="G52" s="7"/>
    </row>
    <row r="54" spans="7:7" x14ac:dyDescent="0.25">
      <c r="G54" s="7"/>
    </row>
    <row r="55" spans="7:7" x14ac:dyDescent="0.25">
      <c r="G55" s="7"/>
    </row>
    <row r="56" spans="7:7" x14ac:dyDescent="0.25">
      <c r="G56" s="7"/>
    </row>
    <row r="57" spans="7:7" x14ac:dyDescent="0.25">
      <c r="G57" s="7"/>
    </row>
    <row r="58" spans="7:7" x14ac:dyDescent="0.25">
      <c r="G58" s="7"/>
    </row>
    <row r="59" spans="7:7" x14ac:dyDescent="0.25">
      <c r="G59" s="7"/>
    </row>
    <row r="60" spans="7:7" x14ac:dyDescent="0.25">
      <c r="G60" s="7"/>
    </row>
    <row r="61" spans="7:7" x14ac:dyDescent="0.25">
      <c r="G61" s="7"/>
    </row>
    <row r="62" spans="7:7" x14ac:dyDescent="0.25">
      <c r="G62" s="7"/>
    </row>
    <row r="63" spans="7:7" x14ac:dyDescent="0.25">
      <c r="G63" s="7"/>
    </row>
    <row r="64" spans="7:7" x14ac:dyDescent="0.25">
      <c r="G64" s="7"/>
    </row>
    <row r="65" spans="7:7" x14ac:dyDescent="0.25">
      <c r="G65" s="7"/>
    </row>
    <row r="66" spans="7:7" x14ac:dyDescent="0.25">
      <c r="G66" s="7"/>
    </row>
    <row r="67" spans="7:7" x14ac:dyDescent="0.25">
      <c r="G67" s="7"/>
    </row>
    <row r="69" spans="7:7" x14ac:dyDescent="0.25">
      <c r="G69" s="7"/>
    </row>
    <row r="70" spans="7:7" x14ac:dyDescent="0.25">
      <c r="G70" s="7"/>
    </row>
    <row r="71" spans="7:7" x14ac:dyDescent="0.25">
      <c r="G71" s="7"/>
    </row>
    <row r="72" spans="7:7" x14ac:dyDescent="0.25">
      <c r="G72" s="7"/>
    </row>
    <row r="73" spans="7:7" x14ac:dyDescent="0.25">
      <c r="G73" s="7"/>
    </row>
    <row r="74" spans="7:7" x14ac:dyDescent="0.25">
      <c r="G74" s="7"/>
    </row>
    <row r="75" spans="7:7" x14ac:dyDescent="0.25">
      <c r="G75" s="7"/>
    </row>
    <row r="76" spans="7:7" x14ac:dyDescent="0.25">
      <c r="G76" s="7"/>
    </row>
    <row r="77" spans="7:7" x14ac:dyDescent="0.25">
      <c r="G77" s="7"/>
    </row>
    <row r="78" spans="7:7" x14ac:dyDescent="0.25">
      <c r="G78" s="7"/>
    </row>
    <row r="79" spans="7:7" x14ac:dyDescent="0.25">
      <c r="G79" s="7"/>
    </row>
    <row r="80" spans="7:7" x14ac:dyDescent="0.25">
      <c r="G80" s="7"/>
    </row>
    <row r="81" spans="7:7" x14ac:dyDescent="0.25">
      <c r="G81" s="7"/>
    </row>
    <row r="82" spans="7:7" x14ac:dyDescent="0.25">
      <c r="G82" s="7"/>
    </row>
    <row r="84" spans="7:7" x14ac:dyDescent="0.25">
      <c r="G84" s="7"/>
    </row>
    <row r="85" spans="7:7" x14ac:dyDescent="0.25">
      <c r="G85" s="7"/>
    </row>
    <row r="86" spans="7:7" x14ac:dyDescent="0.25">
      <c r="G86" s="7"/>
    </row>
    <row r="87" spans="7:7" x14ac:dyDescent="0.25">
      <c r="G87" s="7"/>
    </row>
    <row r="88" spans="7:7" x14ac:dyDescent="0.25">
      <c r="G88" s="7"/>
    </row>
    <row r="89" spans="7:7" x14ac:dyDescent="0.25">
      <c r="G89" s="7"/>
    </row>
    <row r="90" spans="7:7" x14ac:dyDescent="0.25">
      <c r="G90" s="7"/>
    </row>
    <row r="91" spans="7:7" x14ac:dyDescent="0.25">
      <c r="G91" s="7"/>
    </row>
    <row r="92" spans="7:7" x14ac:dyDescent="0.25">
      <c r="G92" s="7"/>
    </row>
    <row r="93" spans="7:7" x14ac:dyDescent="0.25">
      <c r="G93" s="7"/>
    </row>
    <row r="94" spans="7:7" x14ac:dyDescent="0.25">
      <c r="G94" s="7"/>
    </row>
    <row r="95" spans="7:7" x14ac:dyDescent="0.25">
      <c r="G95" s="7"/>
    </row>
    <row r="96" spans="7:7" x14ac:dyDescent="0.25">
      <c r="G96" s="7"/>
    </row>
    <row r="97" spans="7:7" x14ac:dyDescent="0.25">
      <c r="G97" s="7"/>
    </row>
    <row r="99" spans="7:7" x14ac:dyDescent="0.25">
      <c r="G99" s="7"/>
    </row>
    <row r="100" spans="7:7" x14ac:dyDescent="0.25">
      <c r="G100" s="7"/>
    </row>
    <row r="101" spans="7:7" x14ac:dyDescent="0.25">
      <c r="G101" s="7"/>
    </row>
    <row r="102" spans="7:7" x14ac:dyDescent="0.25">
      <c r="G102" s="7"/>
    </row>
    <row r="103" spans="7:7" x14ac:dyDescent="0.25">
      <c r="G103" s="7"/>
    </row>
    <row r="104" spans="7:7" x14ac:dyDescent="0.25">
      <c r="G104" s="7"/>
    </row>
    <row r="105" spans="7:7" x14ac:dyDescent="0.25">
      <c r="G105" s="7"/>
    </row>
    <row r="106" spans="7:7" x14ac:dyDescent="0.25">
      <c r="G106" s="7"/>
    </row>
    <row r="107" spans="7:7" x14ac:dyDescent="0.25">
      <c r="G107" s="7"/>
    </row>
    <row r="108" spans="7:7" x14ac:dyDescent="0.25">
      <c r="G108" s="7"/>
    </row>
    <row r="109" spans="7:7" x14ac:dyDescent="0.25">
      <c r="G109" s="7"/>
    </row>
    <row r="110" spans="7:7" x14ac:dyDescent="0.25">
      <c r="G110" s="7"/>
    </row>
    <row r="111" spans="7:7" x14ac:dyDescent="0.25">
      <c r="G111" s="7"/>
    </row>
    <row r="112" spans="7:7" x14ac:dyDescent="0.25">
      <c r="G112" s="7"/>
    </row>
    <row r="113" spans="7:7" x14ac:dyDescent="0.25">
      <c r="G113" s="7"/>
    </row>
    <row r="115" spans="7:7" x14ac:dyDescent="0.25">
      <c r="G115" s="7"/>
    </row>
    <row r="116" spans="7:7" x14ac:dyDescent="0.25">
      <c r="G116" s="7"/>
    </row>
    <row r="117" spans="7:7" x14ac:dyDescent="0.25">
      <c r="G117" s="7"/>
    </row>
    <row r="118" spans="7:7" x14ac:dyDescent="0.25">
      <c r="G118" s="7"/>
    </row>
    <row r="119" spans="7:7" x14ac:dyDescent="0.25">
      <c r="G119" s="7"/>
    </row>
    <row r="120" spans="7:7" x14ac:dyDescent="0.25">
      <c r="G120" s="7"/>
    </row>
    <row r="121" spans="7:7" x14ac:dyDescent="0.25">
      <c r="G121" s="7"/>
    </row>
    <row r="122" spans="7:7" x14ac:dyDescent="0.25">
      <c r="G122" s="7"/>
    </row>
    <row r="123" spans="7:7" x14ac:dyDescent="0.25">
      <c r="G123" s="7"/>
    </row>
    <row r="124" spans="7:7" x14ac:dyDescent="0.25">
      <c r="G124" s="7"/>
    </row>
    <row r="125" spans="7:7" x14ac:dyDescent="0.25">
      <c r="G125" s="7"/>
    </row>
    <row r="126" spans="7:7" x14ac:dyDescent="0.25">
      <c r="G126" s="7"/>
    </row>
    <row r="127" spans="7:7" x14ac:dyDescent="0.25">
      <c r="G127" s="7"/>
    </row>
    <row r="128" spans="7:7" x14ac:dyDescent="0.25">
      <c r="G128" s="7"/>
    </row>
    <row r="129" spans="7:7" x14ac:dyDescent="0.25">
      <c r="G129" s="7"/>
    </row>
    <row r="130" spans="7:7" ht="15" customHeight="1" x14ac:dyDescent="0.25">
      <c r="G130" s="7"/>
    </row>
    <row r="131" spans="7:7" ht="15" customHeight="1" x14ac:dyDescent="0.25">
      <c r="G131" s="7"/>
    </row>
    <row r="132" spans="7:7" ht="15" customHeight="1" x14ac:dyDescent="0.25">
      <c r="G132" s="7"/>
    </row>
    <row r="133" spans="7:7" x14ac:dyDescent="0.25">
      <c r="G133" s="7"/>
    </row>
    <row r="134" spans="7:7" x14ac:dyDescent="0.25">
      <c r="G134" s="7"/>
    </row>
    <row r="135" spans="7:7" x14ac:dyDescent="0.25">
      <c r="G135" s="7"/>
    </row>
    <row r="136" spans="7:7" x14ac:dyDescent="0.25">
      <c r="G136" s="7"/>
    </row>
    <row r="137" spans="7:7" x14ac:dyDescent="0.25">
      <c r="G137" s="7"/>
    </row>
    <row r="138" spans="7:7" x14ac:dyDescent="0.25">
      <c r="G138" s="7"/>
    </row>
    <row r="139" spans="7:7" x14ac:dyDescent="0.25">
      <c r="G139" s="7"/>
    </row>
    <row r="140" spans="7:7" x14ac:dyDescent="0.25">
      <c r="G140" s="7"/>
    </row>
    <row r="141" spans="7:7" x14ac:dyDescent="0.25">
      <c r="G141" s="7"/>
    </row>
    <row r="142" spans="7:7" x14ac:dyDescent="0.25">
      <c r="G142" s="7"/>
    </row>
    <row r="143" spans="7:7" x14ac:dyDescent="0.25">
      <c r="G143" s="7"/>
    </row>
    <row r="154" spans="7:7" x14ac:dyDescent="0.25">
      <c r="G154" s="7"/>
    </row>
    <row r="155" spans="7:7" x14ac:dyDescent="0.25">
      <c r="G155" s="7"/>
    </row>
    <row r="344" spans="7:7" x14ac:dyDescent="0.25">
      <c r="G344" s="7"/>
    </row>
    <row r="358" spans="1:1" x14ac:dyDescent="0.25">
      <c r="A358" s="7" t="s">
        <v>436</v>
      </c>
    </row>
  </sheetData>
  <conditionalFormatting sqref="L10:S10">
    <cfRule type="containsText" dxfId="1" priority="1" operator="containsText" text="analysis">
      <formula>NOT(ISERROR(SEARCH("analysis",L10)))</formula>
    </cfRule>
  </conditionalFormatting>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51E20-18DB-4124-A7A6-DF84134F3105}">
  <sheetPr codeName="Sheet10"/>
  <dimension ref="A1:V383"/>
  <sheetViews>
    <sheetView workbookViewId="0">
      <selection activeCell="M242" sqref="M242"/>
    </sheetView>
  </sheetViews>
  <sheetFormatPr defaultRowHeight="15" x14ac:dyDescent="0.25"/>
  <cols>
    <col min="1" max="1" width="47.375" style="7" bestFit="1" customWidth="1"/>
    <col min="2" max="2" width="24.875" style="7" customWidth="1"/>
    <col min="3" max="4" width="9" style="7"/>
    <col min="5" max="5" width="10" style="7" customWidth="1"/>
    <col min="6" max="6" width="9" style="7"/>
    <col min="7" max="7" width="48.75" style="7" bestFit="1" customWidth="1"/>
    <col min="8" max="8" width="9" style="7"/>
    <col min="9" max="9" width="46.25" style="7" bestFit="1" customWidth="1"/>
    <col min="10" max="11" width="9" style="7"/>
    <col min="12" max="12" width="22.375" style="7" customWidth="1"/>
    <col min="13" max="17" width="9" style="7"/>
    <col min="18" max="18" width="46.25" style="7" bestFit="1" customWidth="1"/>
    <col min="19" max="16384" width="9" style="7"/>
  </cols>
  <sheetData>
    <row r="1" spans="1:22" ht="14.25" customHeight="1" x14ac:dyDescent="0.25">
      <c r="A1" s="147" t="s">
        <v>294</v>
      </c>
      <c r="B1" s="148"/>
      <c r="C1" s="148"/>
      <c r="D1" s="148"/>
      <c r="E1" s="148"/>
      <c r="F1" s="148"/>
      <c r="G1" s="148"/>
      <c r="H1" s="148"/>
      <c r="I1" s="148"/>
      <c r="J1" s="148"/>
      <c r="K1" s="148"/>
      <c r="L1" s="149"/>
      <c r="M1" s="45"/>
      <c r="N1" s="45"/>
      <c r="O1" s="45"/>
      <c r="P1" s="45"/>
      <c r="Q1" s="45"/>
      <c r="R1" s="45"/>
      <c r="S1" s="45"/>
      <c r="T1" s="45"/>
      <c r="U1" s="45"/>
      <c r="V1" s="45"/>
    </row>
    <row r="2" spans="1:22" ht="14.25" customHeight="1" x14ac:dyDescent="0.25">
      <c r="A2" s="150"/>
      <c r="B2" s="151"/>
      <c r="C2" s="151"/>
      <c r="D2" s="151"/>
      <c r="E2" s="151"/>
      <c r="F2" s="151"/>
      <c r="G2" s="151"/>
      <c r="H2" s="151"/>
      <c r="I2" s="151"/>
      <c r="J2" s="151"/>
      <c r="K2" s="151"/>
      <c r="L2" s="152"/>
      <c r="M2" s="45"/>
      <c r="N2" s="45"/>
      <c r="O2" s="45"/>
      <c r="P2" s="45"/>
      <c r="Q2" s="45"/>
      <c r="R2" s="45"/>
      <c r="S2" s="45"/>
      <c r="T2" s="45"/>
      <c r="U2" s="45"/>
      <c r="V2" s="45"/>
    </row>
    <row r="3" spans="1:22" ht="14.25" customHeight="1" x14ac:dyDescent="0.25">
      <c r="A3" s="150"/>
      <c r="B3" s="151"/>
      <c r="C3" s="151"/>
      <c r="D3" s="151"/>
      <c r="E3" s="151"/>
      <c r="F3" s="151"/>
      <c r="G3" s="151"/>
      <c r="H3" s="151"/>
      <c r="I3" s="151"/>
      <c r="J3" s="151"/>
      <c r="K3" s="151"/>
      <c r="L3" s="152"/>
      <c r="M3" s="45"/>
      <c r="N3" s="45"/>
      <c r="O3" s="45"/>
      <c r="P3" s="45"/>
      <c r="Q3" s="45"/>
      <c r="R3" s="45"/>
      <c r="S3" s="45"/>
      <c r="T3" s="45"/>
      <c r="U3" s="45"/>
      <c r="V3" s="45"/>
    </row>
    <row r="4" spans="1:22" ht="15" customHeight="1" thickBot="1" x14ac:dyDescent="0.3">
      <c r="A4" s="153"/>
      <c r="B4" s="154"/>
      <c r="C4" s="154"/>
      <c r="D4" s="154"/>
      <c r="E4" s="154"/>
      <c r="F4" s="154"/>
      <c r="G4" s="154"/>
      <c r="H4" s="154"/>
      <c r="I4" s="154"/>
      <c r="J4" s="154"/>
      <c r="K4" s="154"/>
      <c r="L4" s="155"/>
      <c r="M4" s="45"/>
      <c r="N4" s="45"/>
      <c r="O4" s="45"/>
      <c r="P4" s="45"/>
      <c r="Q4" s="45"/>
      <c r="R4" s="45"/>
      <c r="S4" s="45"/>
      <c r="T4" s="45"/>
      <c r="U4" s="45"/>
      <c r="V4" s="45"/>
    </row>
    <row r="5" spans="1:22" ht="28.5" x14ac:dyDescent="0.45">
      <c r="A5" s="48" t="s">
        <v>260</v>
      </c>
    </row>
    <row r="6" spans="1:22" ht="18" x14ac:dyDescent="0.25">
      <c r="A6" s="46" t="s">
        <v>203</v>
      </c>
      <c r="D6" s="46" t="s">
        <v>209</v>
      </c>
      <c r="I6" s="46" t="s">
        <v>216</v>
      </c>
    </row>
    <row r="7" spans="1:22" x14ac:dyDescent="0.25">
      <c r="A7" s="54" t="s">
        <v>204</v>
      </c>
      <c r="B7" s="62" t="s">
        <v>237</v>
      </c>
      <c r="D7" s="15" t="s">
        <v>210</v>
      </c>
      <c r="E7" s="49"/>
      <c r="F7" s="49"/>
      <c r="G7" s="50"/>
      <c r="I7" s="54" t="s">
        <v>417</v>
      </c>
      <c r="J7" s="49" t="s">
        <v>255</v>
      </c>
      <c r="K7" s="49"/>
      <c r="L7" s="50"/>
    </row>
    <row r="8" spans="1:22" x14ac:dyDescent="0.25">
      <c r="A8" s="52" t="s">
        <v>205</v>
      </c>
      <c r="B8" s="51" t="s">
        <v>250</v>
      </c>
      <c r="D8" s="52" t="s">
        <v>211</v>
      </c>
      <c r="G8" s="51" t="s">
        <v>253</v>
      </c>
      <c r="I8" s="52" t="s">
        <v>217</v>
      </c>
      <c r="L8" s="51"/>
    </row>
    <row r="9" spans="1:22" x14ac:dyDescent="0.25">
      <c r="A9" s="52" t="s">
        <v>427</v>
      </c>
      <c r="B9" s="51" t="s">
        <v>75</v>
      </c>
      <c r="D9" s="52" t="s">
        <v>212</v>
      </c>
      <c r="G9" s="142" t="s">
        <v>449</v>
      </c>
      <c r="I9" s="52" t="s">
        <v>218</v>
      </c>
      <c r="L9" s="51"/>
    </row>
    <row r="10" spans="1:22" x14ac:dyDescent="0.25">
      <c r="A10" s="52" t="s">
        <v>206</v>
      </c>
      <c r="B10" s="51" t="s">
        <v>310</v>
      </c>
      <c r="D10" s="52" t="s">
        <v>213</v>
      </c>
      <c r="G10" s="142"/>
      <c r="I10" s="52" t="s">
        <v>219</v>
      </c>
      <c r="L10" s="51"/>
    </row>
    <row r="11" spans="1:22" x14ac:dyDescent="0.25">
      <c r="A11" s="52" t="s">
        <v>207</v>
      </c>
      <c r="B11" s="51" t="s">
        <v>75</v>
      </c>
      <c r="D11" s="52" t="s">
        <v>214</v>
      </c>
      <c r="G11" s="55" t="s">
        <v>254</v>
      </c>
      <c r="I11" s="52" t="s">
        <v>220</v>
      </c>
      <c r="L11" s="51"/>
    </row>
    <row r="12" spans="1:22" x14ac:dyDescent="0.25">
      <c r="A12" s="52" t="s">
        <v>208</v>
      </c>
      <c r="B12" s="51" t="s">
        <v>252</v>
      </c>
      <c r="D12" s="53" t="s">
        <v>215</v>
      </c>
      <c r="E12" s="16"/>
      <c r="F12" s="16"/>
      <c r="G12" s="56"/>
      <c r="I12" s="52" t="s">
        <v>221</v>
      </c>
      <c r="L12" s="51"/>
    </row>
    <row r="13" spans="1:22" ht="15" customHeight="1" x14ac:dyDescent="0.25">
      <c r="A13" s="145" t="s">
        <v>428</v>
      </c>
      <c r="B13" s="146"/>
      <c r="I13" s="52" t="s">
        <v>222</v>
      </c>
      <c r="L13" s="51"/>
    </row>
    <row r="14" spans="1:22" ht="26.25" x14ac:dyDescent="0.4">
      <c r="D14" s="143" t="s">
        <v>261</v>
      </c>
      <c r="E14" s="143"/>
      <c r="F14" s="143"/>
      <c r="G14" s="143"/>
      <c r="I14" s="53" t="s">
        <v>223</v>
      </c>
      <c r="J14" s="16"/>
      <c r="K14" s="16"/>
      <c r="L14" s="17"/>
    </row>
    <row r="15" spans="1:22" x14ac:dyDescent="0.25">
      <c r="D15" s="144" t="s">
        <v>241</v>
      </c>
      <c r="E15" s="144"/>
      <c r="F15" s="144"/>
      <c r="G15" s="57" t="s">
        <v>242</v>
      </c>
    </row>
    <row r="16" spans="1:22" ht="15" customHeight="1" x14ac:dyDescent="0.25">
      <c r="D16" s="140" t="s">
        <v>243</v>
      </c>
      <c r="E16" s="140"/>
      <c r="F16" s="140"/>
      <c r="G16" s="58" t="s">
        <v>256</v>
      </c>
    </row>
    <row r="17" spans="1:12" ht="15.75" customHeight="1" x14ac:dyDescent="0.25">
      <c r="D17" s="140" t="s">
        <v>244</v>
      </c>
      <c r="E17" s="140"/>
      <c r="F17" s="140"/>
      <c r="G17" s="58" t="s">
        <v>258</v>
      </c>
    </row>
    <row r="18" spans="1:12" x14ac:dyDescent="0.25">
      <c r="D18" s="140" t="s">
        <v>245</v>
      </c>
      <c r="E18" s="140"/>
      <c r="F18" s="140"/>
      <c r="G18" s="58" t="s">
        <v>256</v>
      </c>
    </row>
    <row r="19" spans="1:12" x14ac:dyDescent="0.25">
      <c r="D19" s="140" t="s">
        <v>246</v>
      </c>
      <c r="E19" s="140"/>
      <c r="F19" s="140"/>
      <c r="G19" s="58" t="s">
        <v>256</v>
      </c>
    </row>
    <row r="20" spans="1:12" x14ac:dyDescent="0.25">
      <c r="D20" s="140" t="s">
        <v>232</v>
      </c>
      <c r="E20" s="140"/>
      <c r="F20" s="140"/>
      <c r="G20" s="58" t="s">
        <v>256</v>
      </c>
      <c r="I20" s="47"/>
    </row>
    <row r="21" spans="1:12" x14ac:dyDescent="0.25">
      <c r="D21" s="140" t="s">
        <v>247</v>
      </c>
      <c r="E21" s="140"/>
      <c r="F21" s="140"/>
      <c r="G21" s="58" t="s">
        <v>258</v>
      </c>
    </row>
    <row r="22" spans="1:12" x14ac:dyDescent="0.25">
      <c r="D22" s="140" t="s">
        <v>248</v>
      </c>
      <c r="E22" s="140"/>
      <c r="F22" s="140"/>
      <c r="G22" s="58" t="s">
        <v>257</v>
      </c>
    </row>
    <row r="23" spans="1:12" x14ac:dyDescent="0.25">
      <c r="D23" s="140" t="s">
        <v>249</v>
      </c>
      <c r="E23" s="140"/>
      <c r="F23" s="140"/>
      <c r="G23" s="58" t="s">
        <v>259</v>
      </c>
    </row>
    <row r="25" spans="1:12" ht="28.5" x14ac:dyDescent="0.45">
      <c r="A25" s="48" t="s">
        <v>268</v>
      </c>
    </row>
    <row r="26" spans="1:12" ht="18" x14ac:dyDescent="0.25">
      <c r="A26" s="46" t="s">
        <v>203</v>
      </c>
      <c r="D26" s="46" t="s">
        <v>209</v>
      </c>
      <c r="I26" s="46" t="s">
        <v>216</v>
      </c>
    </row>
    <row r="27" spans="1:12" x14ac:dyDescent="0.25">
      <c r="A27" s="54" t="s">
        <v>204</v>
      </c>
      <c r="B27" s="62" t="s">
        <v>269</v>
      </c>
      <c r="D27" s="15" t="s">
        <v>210</v>
      </c>
      <c r="E27" s="49"/>
      <c r="F27" s="49"/>
      <c r="G27" s="50"/>
      <c r="I27" s="54" t="s">
        <v>417</v>
      </c>
      <c r="J27" s="49" t="s">
        <v>429</v>
      </c>
      <c r="K27" s="49"/>
      <c r="L27" s="50"/>
    </row>
    <row r="28" spans="1:12" x14ac:dyDescent="0.25">
      <c r="A28" s="52" t="s">
        <v>205</v>
      </c>
      <c r="B28" s="51" t="s">
        <v>171</v>
      </c>
      <c r="D28" s="52" t="s">
        <v>211</v>
      </c>
      <c r="G28" s="51" t="s">
        <v>253</v>
      </c>
      <c r="I28" s="52" t="s">
        <v>217</v>
      </c>
      <c r="L28" s="51"/>
    </row>
    <row r="29" spans="1:12" x14ac:dyDescent="0.25">
      <c r="A29" s="52" t="s">
        <v>427</v>
      </c>
      <c r="B29" s="51" t="s">
        <v>75</v>
      </c>
      <c r="D29" s="52" t="s">
        <v>212</v>
      </c>
      <c r="G29" s="51" t="s">
        <v>458</v>
      </c>
      <c r="I29" s="52" t="s">
        <v>218</v>
      </c>
      <c r="J29" s="7" t="s">
        <v>274</v>
      </c>
      <c r="L29" s="51"/>
    </row>
    <row r="30" spans="1:12" x14ac:dyDescent="0.25">
      <c r="A30" s="52" t="s">
        <v>206</v>
      </c>
      <c r="B30" s="51" t="s">
        <v>310</v>
      </c>
      <c r="D30" s="52" t="s">
        <v>213</v>
      </c>
      <c r="G30" s="51" t="s">
        <v>273</v>
      </c>
      <c r="I30" s="52" t="s">
        <v>219</v>
      </c>
      <c r="L30" s="51"/>
    </row>
    <row r="31" spans="1:12" x14ac:dyDescent="0.25">
      <c r="A31" s="52" t="s">
        <v>207</v>
      </c>
      <c r="B31" s="51" t="s">
        <v>75</v>
      </c>
      <c r="D31" s="52" t="s">
        <v>214</v>
      </c>
      <c r="G31" s="55" t="s">
        <v>254</v>
      </c>
      <c r="I31" s="52" t="s">
        <v>220</v>
      </c>
      <c r="J31" s="109" t="s">
        <v>459</v>
      </c>
      <c r="K31" s="109"/>
      <c r="L31" s="110"/>
    </row>
    <row r="32" spans="1:12" x14ac:dyDescent="0.25">
      <c r="A32" s="52" t="s">
        <v>208</v>
      </c>
      <c r="B32" s="51" t="s">
        <v>272</v>
      </c>
      <c r="D32" s="53" t="s">
        <v>215</v>
      </c>
      <c r="E32" s="16"/>
      <c r="F32" s="16"/>
      <c r="G32" s="56"/>
      <c r="I32" s="52" t="s">
        <v>221</v>
      </c>
      <c r="J32" s="109"/>
      <c r="K32" s="109"/>
      <c r="L32" s="110"/>
    </row>
    <row r="33" spans="1:12" x14ac:dyDescent="0.25">
      <c r="A33" s="145" t="s">
        <v>428</v>
      </c>
      <c r="B33" s="146"/>
      <c r="I33" s="52" t="s">
        <v>222</v>
      </c>
      <c r="J33" s="109"/>
      <c r="K33" s="109"/>
      <c r="L33" s="110"/>
    </row>
    <row r="34" spans="1:12" ht="26.25" x14ac:dyDescent="0.4">
      <c r="D34" s="143" t="s">
        <v>261</v>
      </c>
      <c r="E34" s="143"/>
      <c r="F34" s="143"/>
      <c r="G34" s="143"/>
      <c r="I34" s="53" t="s">
        <v>223</v>
      </c>
      <c r="J34" s="16"/>
      <c r="K34" s="16"/>
      <c r="L34" s="17"/>
    </row>
    <row r="35" spans="1:12" x14ac:dyDescent="0.25">
      <c r="D35" s="144" t="s">
        <v>241</v>
      </c>
      <c r="E35" s="144"/>
      <c r="F35" s="144"/>
      <c r="G35" s="57" t="s">
        <v>242</v>
      </c>
    </row>
    <row r="36" spans="1:12" x14ac:dyDescent="0.25">
      <c r="D36" s="140" t="s">
        <v>243</v>
      </c>
      <c r="E36" s="140"/>
      <c r="F36" s="140"/>
      <c r="G36" s="58" t="s">
        <v>258</v>
      </c>
    </row>
    <row r="37" spans="1:12" x14ac:dyDescent="0.25">
      <c r="D37" s="140" t="s">
        <v>244</v>
      </c>
      <c r="E37" s="140"/>
      <c r="F37" s="140"/>
      <c r="G37" s="58" t="s">
        <v>256</v>
      </c>
    </row>
    <row r="38" spans="1:12" x14ac:dyDescent="0.25">
      <c r="D38" s="140" t="s">
        <v>245</v>
      </c>
      <c r="E38" s="140"/>
      <c r="F38" s="140"/>
      <c r="G38" s="58" t="s">
        <v>258</v>
      </c>
    </row>
    <row r="39" spans="1:12" x14ac:dyDescent="0.25">
      <c r="D39" s="140" t="s">
        <v>246</v>
      </c>
      <c r="E39" s="140"/>
      <c r="F39" s="140"/>
      <c r="G39" s="58" t="s">
        <v>258</v>
      </c>
    </row>
    <row r="40" spans="1:12" x14ac:dyDescent="0.25">
      <c r="D40" s="140" t="s">
        <v>232</v>
      </c>
      <c r="E40" s="140"/>
      <c r="F40" s="140"/>
      <c r="G40" s="58" t="s">
        <v>258</v>
      </c>
      <c r="I40" s="47"/>
    </row>
    <row r="41" spans="1:12" x14ac:dyDescent="0.25">
      <c r="D41" s="140" t="s">
        <v>247</v>
      </c>
      <c r="E41" s="140"/>
      <c r="F41" s="140"/>
      <c r="G41" s="58" t="s">
        <v>257</v>
      </c>
    </row>
    <row r="42" spans="1:12" x14ac:dyDescent="0.25">
      <c r="D42" s="140" t="s">
        <v>248</v>
      </c>
      <c r="E42" s="140"/>
      <c r="F42" s="140"/>
      <c r="G42" s="58" t="s">
        <v>259</v>
      </c>
    </row>
    <row r="43" spans="1:12" x14ac:dyDescent="0.25">
      <c r="D43" s="140" t="s">
        <v>249</v>
      </c>
      <c r="E43" s="140"/>
      <c r="F43" s="140"/>
      <c r="G43" s="58" t="s">
        <v>460</v>
      </c>
    </row>
    <row r="45" spans="1:12" ht="28.5" x14ac:dyDescent="0.45">
      <c r="A45" s="48" t="s">
        <v>275</v>
      </c>
    </row>
    <row r="46" spans="1:12" ht="18" x14ac:dyDescent="0.25">
      <c r="A46" s="46" t="s">
        <v>203</v>
      </c>
      <c r="D46" s="46" t="s">
        <v>209</v>
      </c>
      <c r="I46" s="46" t="s">
        <v>216</v>
      </c>
    </row>
    <row r="47" spans="1:12" x14ac:dyDescent="0.25">
      <c r="A47" s="54" t="s">
        <v>204</v>
      </c>
      <c r="B47" s="44" t="s">
        <v>278</v>
      </c>
      <c r="D47" s="15" t="s">
        <v>210</v>
      </c>
      <c r="E47" s="49"/>
      <c r="F47" s="49"/>
      <c r="G47" s="50"/>
      <c r="I47" s="54" t="s">
        <v>417</v>
      </c>
      <c r="J47" s="49" t="s">
        <v>429</v>
      </c>
      <c r="K47" s="49"/>
      <c r="L47" s="50"/>
    </row>
    <row r="48" spans="1:12" x14ac:dyDescent="0.25">
      <c r="A48" s="52" t="s">
        <v>205</v>
      </c>
      <c r="B48" s="51" t="s">
        <v>172</v>
      </c>
      <c r="D48" s="52" t="s">
        <v>211</v>
      </c>
      <c r="G48" s="51" t="s">
        <v>283</v>
      </c>
      <c r="I48" s="52" t="s">
        <v>217</v>
      </c>
      <c r="L48" s="51"/>
    </row>
    <row r="49" spans="1:12" x14ac:dyDescent="0.25">
      <c r="A49" s="52" t="s">
        <v>427</v>
      </c>
      <c r="B49" s="51" t="s">
        <v>270</v>
      </c>
      <c r="D49" s="52" t="s">
        <v>212</v>
      </c>
      <c r="G49" s="7" t="s">
        <v>284</v>
      </c>
      <c r="I49" s="52" t="s">
        <v>218</v>
      </c>
      <c r="J49" s="7" t="s">
        <v>274</v>
      </c>
      <c r="L49" s="51"/>
    </row>
    <row r="50" spans="1:12" x14ac:dyDescent="0.25">
      <c r="A50" s="52" t="s">
        <v>206</v>
      </c>
      <c r="B50" s="51" t="s">
        <v>251</v>
      </c>
      <c r="D50" s="52" t="s">
        <v>213</v>
      </c>
      <c r="G50" s="51" t="s">
        <v>273</v>
      </c>
      <c r="I50" s="52" t="s">
        <v>219</v>
      </c>
      <c r="J50" s="141" t="s">
        <v>286</v>
      </c>
      <c r="K50" s="141"/>
      <c r="L50" s="142"/>
    </row>
    <row r="51" spans="1:12" x14ac:dyDescent="0.25">
      <c r="A51" s="52" t="s">
        <v>207</v>
      </c>
      <c r="B51" s="51" t="s">
        <v>75</v>
      </c>
      <c r="D51" s="52" t="s">
        <v>214</v>
      </c>
      <c r="G51" s="55" t="s">
        <v>254</v>
      </c>
      <c r="I51" s="52" t="s">
        <v>220</v>
      </c>
      <c r="J51" s="141"/>
      <c r="K51" s="141"/>
      <c r="L51" s="142"/>
    </row>
    <row r="52" spans="1:12" x14ac:dyDescent="0.25">
      <c r="A52" s="52" t="s">
        <v>208</v>
      </c>
      <c r="B52" s="51" t="s">
        <v>252</v>
      </c>
      <c r="D52" s="53" t="s">
        <v>215</v>
      </c>
      <c r="E52" s="16"/>
      <c r="F52" s="16"/>
      <c r="G52" s="56"/>
      <c r="I52" s="52" t="s">
        <v>221</v>
      </c>
      <c r="J52" s="141" t="s">
        <v>285</v>
      </c>
      <c r="K52" s="141"/>
      <c r="L52" s="142"/>
    </row>
    <row r="53" spans="1:12" x14ac:dyDescent="0.25">
      <c r="A53" s="145" t="s">
        <v>428</v>
      </c>
      <c r="B53" s="146"/>
      <c r="I53" s="52" t="s">
        <v>222</v>
      </c>
      <c r="J53" s="141"/>
      <c r="K53" s="141"/>
      <c r="L53" s="142"/>
    </row>
    <row r="54" spans="1:12" ht="26.25" x14ac:dyDescent="0.4">
      <c r="D54" s="143" t="s">
        <v>261</v>
      </c>
      <c r="E54" s="143"/>
      <c r="F54" s="143"/>
      <c r="G54" s="143"/>
      <c r="I54" s="53" t="s">
        <v>223</v>
      </c>
      <c r="J54" s="16"/>
      <c r="K54" s="16"/>
      <c r="L54" s="17"/>
    </row>
    <row r="55" spans="1:12" x14ac:dyDescent="0.25">
      <c r="D55" s="144" t="s">
        <v>241</v>
      </c>
      <c r="E55" s="144"/>
      <c r="F55" s="144"/>
      <c r="G55" s="57" t="s">
        <v>242</v>
      </c>
    </row>
    <row r="56" spans="1:12" x14ac:dyDescent="0.25">
      <c r="D56" s="140" t="s">
        <v>243</v>
      </c>
      <c r="E56" s="140"/>
      <c r="F56" s="140"/>
      <c r="G56" s="58" t="s">
        <v>257</v>
      </c>
    </row>
    <row r="57" spans="1:12" x14ac:dyDescent="0.25">
      <c r="D57" s="140" t="s">
        <v>244</v>
      </c>
      <c r="E57" s="140"/>
      <c r="F57" s="140"/>
      <c r="G57" s="58" t="s">
        <v>259</v>
      </c>
    </row>
    <row r="58" spans="1:12" x14ac:dyDescent="0.25">
      <c r="D58" s="140" t="s">
        <v>245</v>
      </c>
      <c r="E58" s="140"/>
      <c r="F58" s="140"/>
      <c r="G58" s="58" t="s">
        <v>256</v>
      </c>
    </row>
    <row r="59" spans="1:12" x14ac:dyDescent="0.25">
      <c r="D59" s="140" t="s">
        <v>246</v>
      </c>
      <c r="E59" s="140"/>
      <c r="F59" s="140"/>
      <c r="G59" s="58" t="s">
        <v>258</v>
      </c>
    </row>
    <row r="60" spans="1:12" x14ac:dyDescent="0.25">
      <c r="D60" s="140" t="s">
        <v>232</v>
      </c>
      <c r="E60" s="140"/>
      <c r="F60" s="140"/>
      <c r="G60" s="58" t="s">
        <v>259</v>
      </c>
      <c r="I60" s="47"/>
    </row>
    <row r="61" spans="1:12" x14ac:dyDescent="0.25">
      <c r="D61" s="140" t="s">
        <v>247</v>
      </c>
      <c r="E61" s="140"/>
      <c r="F61" s="140"/>
      <c r="G61" s="58" t="s">
        <v>256</v>
      </c>
    </row>
    <row r="62" spans="1:12" x14ac:dyDescent="0.25">
      <c r="D62" s="140" t="s">
        <v>248</v>
      </c>
      <c r="E62" s="140"/>
      <c r="F62" s="140"/>
      <c r="G62" s="58" t="s">
        <v>256</v>
      </c>
    </row>
    <row r="63" spans="1:12" x14ac:dyDescent="0.25">
      <c r="D63" s="140" t="s">
        <v>249</v>
      </c>
      <c r="E63" s="140"/>
      <c r="F63" s="140"/>
      <c r="G63" s="58" t="s">
        <v>258</v>
      </c>
    </row>
    <row r="65" spans="1:12" ht="28.5" x14ac:dyDescent="0.45">
      <c r="A65" s="48" t="s">
        <v>293</v>
      </c>
    </row>
    <row r="66" spans="1:12" ht="18" x14ac:dyDescent="0.25">
      <c r="A66" s="46" t="s">
        <v>203</v>
      </c>
      <c r="D66" s="46" t="s">
        <v>209</v>
      </c>
      <c r="I66" s="46" t="s">
        <v>216</v>
      </c>
    </row>
    <row r="67" spans="1:12" x14ac:dyDescent="0.25">
      <c r="A67" s="54" t="s">
        <v>204</v>
      </c>
      <c r="B67" s="44" t="s">
        <v>237</v>
      </c>
      <c r="D67" s="15" t="s">
        <v>210</v>
      </c>
      <c r="E67" s="49"/>
      <c r="F67" s="49"/>
      <c r="G67" s="50"/>
      <c r="I67" s="54" t="s">
        <v>417</v>
      </c>
      <c r="J67" s="49" t="s">
        <v>429</v>
      </c>
      <c r="K67" s="49"/>
      <c r="L67" s="50"/>
    </row>
    <row r="68" spans="1:12" x14ac:dyDescent="0.25">
      <c r="A68" s="52" t="s">
        <v>205</v>
      </c>
      <c r="B68" s="51" t="s">
        <v>172</v>
      </c>
      <c r="D68" s="52" t="s">
        <v>211</v>
      </c>
      <c r="G68" s="51" t="s">
        <v>283</v>
      </c>
      <c r="I68" s="52" t="s">
        <v>217</v>
      </c>
      <c r="L68" s="51"/>
    </row>
    <row r="69" spans="1:12" x14ac:dyDescent="0.25">
      <c r="A69" s="52" t="s">
        <v>427</v>
      </c>
      <c r="B69" s="51" t="s">
        <v>270</v>
      </c>
      <c r="D69" s="52" t="s">
        <v>212</v>
      </c>
      <c r="G69" s="51" t="s">
        <v>296</v>
      </c>
      <c r="I69" s="52" t="s">
        <v>218</v>
      </c>
      <c r="J69" s="7" t="s">
        <v>274</v>
      </c>
      <c r="L69" s="51"/>
    </row>
    <row r="70" spans="1:12" x14ac:dyDescent="0.25">
      <c r="A70" s="52" t="s">
        <v>206</v>
      </c>
      <c r="B70" s="51" t="s">
        <v>271</v>
      </c>
      <c r="D70" s="52" t="s">
        <v>213</v>
      </c>
      <c r="G70" s="51"/>
      <c r="I70" s="52" t="s">
        <v>219</v>
      </c>
      <c r="J70" s="60"/>
      <c r="K70" s="60"/>
      <c r="L70" s="61"/>
    </row>
    <row r="71" spans="1:12" x14ac:dyDescent="0.25">
      <c r="A71" s="52" t="s">
        <v>207</v>
      </c>
      <c r="B71" s="51" t="s">
        <v>270</v>
      </c>
      <c r="D71" s="52" t="s">
        <v>214</v>
      </c>
      <c r="G71" s="55"/>
      <c r="I71" s="52" t="s">
        <v>220</v>
      </c>
      <c r="J71" s="60"/>
      <c r="K71" s="60"/>
      <c r="L71" s="61"/>
    </row>
    <row r="72" spans="1:12" x14ac:dyDescent="0.25">
      <c r="A72" s="52" t="s">
        <v>208</v>
      </c>
      <c r="B72" s="51" t="s">
        <v>252</v>
      </c>
      <c r="D72" s="53" t="s">
        <v>215</v>
      </c>
      <c r="E72" s="16"/>
      <c r="F72" s="16"/>
      <c r="G72" s="56"/>
      <c r="I72" s="52" t="s">
        <v>221</v>
      </c>
      <c r="J72" s="60"/>
      <c r="K72" s="60"/>
      <c r="L72" s="61"/>
    </row>
    <row r="73" spans="1:12" x14ac:dyDescent="0.25">
      <c r="A73" s="145" t="s">
        <v>295</v>
      </c>
      <c r="B73" s="146"/>
      <c r="I73" s="52" t="s">
        <v>222</v>
      </c>
      <c r="J73" s="60"/>
      <c r="K73" s="60"/>
      <c r="L73" s="61"/>
    </row>
    <row r="74" spans="1:12" ht="26.25" x14ac:dyDescent="0.4">
      <c r="D74" s="143" t="s">
        <v>261</v>
      </c>
      <c r="E74" s="143"/>
      <c r="F74" s="143"/>
      <c r="G74" s="143"/>
      <c r="I74" s="53" t="s">
        <v>223</v>
      </c>
      <c r="J74" s="16"/>
      <c r="K74" s="16"/>
      <c r="L74" s="17"/>
    </row>
    <row r="75" spans="1:12" x14ac:dyDescent="0.25">
      <c r="D75" s="144" t="s">
        <v>241</v>
      </c>
      <c r="E75" s="144"/>
      <c r="F75" s="144"/>
      <c r="G75" s="57" t="s">
        <v>242</v>
      </c>
    </row>
    <row r="76" spans="1:12" x14ac:dyDescent="0.25">
      <c r="D76" s="140" t="s">
        <v>243</v>
      </c>
      <c r="E76" s="140"/>
      <c r="F76" s="140"/>
      <c r="G76" s="58" t="s">
        <v>257</v>
      </c>
    </row>
    <row r="77" spans="1:12" x14ac:dyDescent="0.25">
      <c r="D77" s="140" t="s">
        <v>244</v>
      </c>
      <c r="E77" s="140"/>
      <c r="F77" s="140"/>
      <c r="G77" s="58" t="s">
        <v>256</v>
      </c>
    </row>
    <row r="78" spans="1:12" x14ac:dyDescent="0.25">
      <c r="D78" s="140" t="s">
        <v>245</v>
      </c>
      <c r="E78" s="140"/>
      <c r="F78" s="140"/>
      <c r="G78" s="58" t="s">
        <v>258</v>
      </c>
    </row>
    <row r="79" spans="1:12" x14ac:dyDescent="0.25">
      <c r="D79" s="140" t="s">
        <v>246</v>
      </c>
      <c r="E79" s="140"/>
      <c r="F79" s="140"/>
      <c r="G79" s="58" t="s">
        <v>258</v>
      </c>
    </row>
    <row r="80" spans="1:12" x14ac:dyDescent="0.25">
      <c r="D80" s="140" t="s">
        <v>232</v>
      </c>
      <c r="E80" s="140"/>
      <c r="F80" s="140"/>
      <c r="G80" s="58" t="s">
        <v>256</v>
      </c>
      <c r="I80" s="47"/>
    </row>
    <row r="81" spans="1:12" x14ac:dyDescent="0.25">
      <c r="D81" s="140" t="s">
        <v>247</v>
      </c>
      <c r="E81" s="140"/>
      <c r="F81" s="140"/>
      <c r="G81" s="58" t="s">
        <v>259</v>
      </c>
    </row>
    <row r="82" spans="1:12" x14ac:dyDescent="0.25">
      <c r="D82" s="140" t="s">
        <v>248</v>
      </c>
      <c r="E82" s="140"/>
      <c r="F82" s="140"/>
      <c r="G82" s="58" t="s">
        <v>258</v>
      </c>
    </row>
    <row r="83" spans="1:12" x14ac:dyDescent="0.25">
      <c r="D83" s="140" t="s">
        <v>249</v>
      </c>
      <c r="E83" s="140"/>
      <c r="F83" s="140"/>
      <c r="G83" s="58" t="s">
        <v>258</v>
      </c>
    </row>
    <row r="85" spans="1:12" ht="28.5" x14ac:dyDescent="0.45">
      <c r="A85" s="48" t="s">
        <v>297</v>
      </c>
    </row>
    <row r="86" spans="1:12" ht="18" x14ac:dyDescent="0.25">
      <c r="A86" s="46" t="s">
        <v>203</v>
      </c>
      <c r="D86" s="46" t="s">
        <v>209</v>
      </c>
      <c r="I86" s="46" t="s">
        <v>216</v>
      </c>
    </row>
    <row r="87" spans="1:12" x14ac:dyDescent="0.25">
      <c r="A87" s="54" t="s">
        <v>204</v>
      </c>
      <c r="B87" s="44" t="s">
        <v>263</v>
      </c>
      <c r="D87" s="15" t="s">
        <v>210</v>
      </c>
      <c r="E87" s="49"/>
      <c r="F87" s="49"/>
      <c r="G87" s="50"/>
      <c r="I87" s="54" t="s">
        <v>417</v>
      </c>
      <c r="J87" s="49" t="s">
        <v>429</v>
      </c>
      <c r="K87" s="49"/>
      <c r="L87" s="50"/>
    </row>
    <row r="88" spans="1:12" x14ac:dyDescent="0.25">
      <c r="A88" s="52" t="s">
        <v>205</v>
      </c>
      <c r="B88" s="51" t="s">
        <v>185</v>
      </c>
      <c r="D88" s="52" t="s">
        <v>211</v>
      </c>
      <c r="G88" s="51" t="s">
        <v>468</v>
      </c>
      <c r="I88" s="52" t="s">
        <v>217</v>
      </c>
      <c r="J88" s="7" t="s">
        <v>305</v>
      </c>
      <c r="L88" s="51"/>
    </row>
    <row r="89" spans="1:12" x14ac:dyDescent="0.25">
      <c r="A89" s="52" t="s">
        <v>427</v>
      </c>
      <c r="B89" s="51" t="s">
        <v>270</v>
      </c>
      <c r="D89" s="52" t="s">
        <v>212</v>
      </c>
      <c r="G89" s="51" t="s">
        <v>75</v>
      </c>
      <c r="I89" s="52" t="s">
        <v>218</v>
      </c>
      <c r="L89" s="51"/>
    </row>
    <row r="90" spans="1:12" x14ac:dyDescent="0.25">
      <c r="A90" s="52" t="s">
        <v>206</v>
      </c>
      <c r="B90" s="51" t="s">
        <v>271</v>
      </c>
      <c r="D90" s="52" t="s">
        <v>213</v>
      </c>
      <c r="G90" s="51" t="s">
        <v>270</v>
      </c>
      <c r="I90" s="52" t="s">
        <v>219</v>
      </c>
      <c r="J90" s="7" t="s">
        <v>306</v>
      </c>
      <c r="K90" s="60"/>
      <c r="L90" s="61"/>
    </row>
    <row r="91" spans="1:12" x14ac:dyDescent="0.25">
      <c r="A91" s="52" t="s">
        <v>207</v>
      </c>
      <c r="B91" s="51" t="s">
        <v>270</v>
      </c>
      <c r="D91" s="52" t="s">
        <v>214</v>
      </c>
      <c r="G91" s="55" t="s">
        <v>304</v>
      </c>
      <c r="I91" s="52" t="s">
        <v>220</v>
      </c>
      <c r="J91" s="60"/>
      <c r="K91" s="60"/>
      <c r="L91" s="61"/>
    </row>
    <row r="92" spans="1:12" x14ac:dyDescent="0.25">
      <c r="A92" s="52" t="s">
        <v>208</v>
      </c>
      <c r="B92" s="51" t="s">
        <v>252</v>
      </c>
      <c r="D92" s="53" t="s">
        <v>215</v>
      </c>
      <c r="E92" s="16"/>
      <c r="F92" s="16"/>
      <c r="G92" s="56" t="s">
        <v>469</v>
      </c>
      <c r="I92" s="52" t="s">
        <v>221</v>
      </c>
      <c r="J92" s="7" t="s">
        <v>307</v>
      </c>
      <c r="K92" s="60"/>
      <c r="L92" s="61"/>
    </row>
    <row r="93" spans="1:12" x14ac:dyDescent="0.25">
      <c r="A93" s="145" t="s">
        <v>303</v>
      </c>
      <c r="B93" s="146"/>
      <c r="I93" s="52" t="s">
        <v>222</v>
      </c>
      <c r="J93" s="60"/>
      <c r="K93" s="60"/>
      <c r="L93" s="61"/>
    </row>
    <row r="94" spans="1:12" ht="26.25" x14ac:dyDescent="0.4">
      <c r="D94" s="143" t="s">
        <v>261</v>
      </c>
      <c r="E94" s="143"/>
      <c r="F94" s="143"/>
      <c r="G94" s="143"/>
      <c r="I94" s="53" t="s">
        <v>223</v>
      </c>
      <c r="J94" s="16"/>
      <c r="K94" s="16"/>
      <c r="L94" s="17"/>
    </row>
    <row r="95" spans="1:12" x14ac:dyDescent="0.25">
      <c r="D95" s="144" t="s">
        <v>241</v>
      </c>
      <c r="E95" s="144"/>
      <c r="F95" s="144"/>
      <c r="G95" s="57" t="s">
        <v>242</v>
      </c>
    </row>
    <row r="96" spans="1:12" x14ac:dyDescent="0.25">
      <c r="D96" s="140" t="s">
        <v>243</v>
      </c>
      <c r="E96" s="140"/>
      <c r="F96" s="140"/>
      <c r="G96" s="58" t="s">
        <v>257</v>
      </c>
    </row>
    <row r="97" spans="1:12" x14ac:dyDescent="0.25">
      <c r="D97" s="140" t="s">
        <v>244</v>
      </c>
      <c r="E97" s="140"/>
      <c r="F97" s="140"/>
      <c r="G97" s="58" t="s">
        <v>257</v>
      </c>
    </row>
    <row r="98" spans="1:12" x14ac:dyDescent="0.25">
      <c r="D98" s="140" t="s">
        <v>245</v>
      </c>
      <c r="E98" s="140"/>
      <c r="F98" s="140"/>
      <c r="G98" s="58" t="s">
        <v>308</v>
      </c>
    </row>
    <row r="99" spans="1:12" x14ac:dyDescent="0.25">
      <c r="D99" s="140" t="s">
        <v>246</v>
      </c>
      <c r="E99" s="140"/>
      <c r="F99" s="140"/>
      <c r="G99" s="58" t="s">
        <v>258</v>
      </c>
    </row>
    <row r="100" spans="1:12" x14ac:dyDescent="0.25">
      <c r="D100" s="140" t="s">
        <v>232</v>
      </c>
      <c r="E100" s="140"/>
      <c r="F100" s="140"/>
      <c r="G100" s="58" t="s">
        <v>258</v>
      </c>
      <c r="I100" s="47"/>
    </row>
    <row r="101" spans="1:12" x14ac:dyDescent="0.25">
      <c r="D101" s="140" t="s">
        <v>247</v>
      </c>
      <c r="E101" s="140"/>
      <c r="F101" s="140"/>
      <c r="G101" s="58" t="s">
        <v>257</v>
      </c>
    </row>
    <row r="102" spans="1:12" x14ac:dyDescent="0.25">
      <c r="D102" s="140" t="s">
        <v>248</v>
      </c>
      <c r="E102" s="140"/>
      <c r="F102" s="140"/>
      <c r="G102" s="58" t="s">
        <v>308</v>
      </c>
    </row>
    <row r="103" spans="1:12" x14ac:dyDescent="0.25">
      <c r="D103" s="140" t="s">
        <v>249</v>
      </c>
      <c r="E103" s="140"/>
      <c r="F103" s="140"/>
      <c r="G103" s="58" t="s">
        <v>257</v>
      </c>
    </row>
    <row r="105" spans="1:12" ht="28.5" x14ac:dyDescent="0.45">
      <c r="A105" s="48" t="s">
        <v>309</v>
      </c>
    </row>
    <row r="106" spans="1:12" ht="18" x14ac:dyDescent="0.25">
      <c r="A106" s="46" t="s">
        <v>203</v>
      </c>
      <c r="D106" s="46" t="s">
        <v>209</v>
      </c>
      <c r="I106" s="46" t="s">
        <v>216</v>
      </c>
    </row>
    <row r="107" spans="1:12" x14ac:dyDescent="0.25">
      <c r="A107" s="54" t="s">
        <v>204</v>
      </c>
      <c r="B107" s="44" t="s">
        <v>269</v>
      </c>
      <c r="D107" s="15" t="s">
        <v>210</v>
      </c>
      <c r="E107" s="49"/>
      <c r="F107" s="49"/>
      <c r="G107" s="50"/>
      <c r="I107" s="54" t="s">
        <v>417</v>
      </c>
      <c r="J107" s="49"/>
      <c r="K107" s="49"/>
      <c r="L107" s="50"/>
    </row>
    <row r="108" spans="1:12" x14ac:dyDescent="0.25">
      <c r="A108" s="52" t="s">
        <v>205</v>
      </c>
      <c r="B108" s="51" t="s">
        <v>171</v>
      </c>
      <c r="D108" s="52" t="s">
        <v>211</v>
      </c>
      <c r="G108" s="51" t="s">
        <v>270</v>
      </c>
      <c r="I108" s="52" t="s">
        <v>217</v>
      </c>
      <c r="J108" s="7" t="s">
        <v>305</v>
      </c>
      <c r="L108" s="51"/>
    </row>
    <row r="109" spans="1:12" x14ac:dyDescent="0.25">
      <c r="A109" s="52" t="s">
        <v>427</v>
      </c>
      <c r="B109" s="51" t="s">
        <v>75</v>
      </c>
      <c r="D109" s="52" t="s">
        <v>212</v>
      </c>
      <c r="G109" s="51"/>
      <c r="I109" s="52" t="s">
        <v>218</v>
      </c>
      <c r="L109" s="51"/>
    </row>
    <row r="110" spans="1:12" x14ac:dyDescent="0.25">
      <c r="A110" s="52" t="s">
        <v>206</v>
      </c>
      <c r="B110" s="51" t="s">
        <v>310</v>
      </c>
      <c r="D110" s="52" t="s">
        <v>213</v>
      </c>
      <c r="G110" s="51" t="s">
        <v>335</v>
      </c>
      <c r="I110" s="52" t="s">
        <v>219</v>
      </c>
      <c r="J110" s="7" t="s">
        <v>306</v>
      </c>
      <c r="K110" s="60"/>
      <c r="L110" s="61"/>
    </row>
    <row r="111" spans="1:12" x14ac:dyDescent="0.25">
      <c r="A111" s="52" t="s">
        <v>207</v>
      </c>
      <c r="B111" s="51" t="s">
        <v>75</v>
      </c>
      <c r="D111" s="52" t="s">
        <v>214</v>
      </c>
      <c r="G111" s="55" t="s">
        <v>304</v>
      </c>
      <c r="I111" s="52" t="s">
        <v>220</v>
      </c>
      <c r="J111" s="60"/>
      <c r="K111" s="60"/>
      <c r="L111" s="61"/>
    </row>
    <row r="112" spans="1:12" x14ac:dyDescent="0.25">
      <c r="A112" s="52" t="s">
        <v>208</v>
      </c>
      <c r="B112" s="51" t="s">
        <v>252</v>
      </c>
      <c r="D112" s="53" t="s">
        <v>215</v>
      </c>
      <c r="E112" s="16"/>
      <c r="F112" s="16"/>
      <c r="G112" s="56" t="s">
        <v>312</v>
      </c>
      <c r="I112" s="52" t="s">
        <v>221</v>
      </c>
      <c r="J112" s="7" t="s">
        <v>307</v>
      </c>
      <c r="K112" s="60"/>
      <c r="L112" s="61"/>
    </row>
    <row r="113" spans="1:12" x14ac:dyDescent="0.25">
      <c r="A113" s="145" t="s">
        <v>311</v>
      </c>
      <c r="B113" s="146"/>
      <c r="I113" s="52" t="s">
        <v>222</v>
      </c>
      <c r="J113" s="7" t="s">
        <v>313</v>
      </c>
      <c r="K113" s="60"/>
      <c r="L113" s="61"/>
    </row>
    <row r="114" spans="1:12" ht="26.25" x14ac:dyDescent="0.4">
      <c r="D114" s="143" t="s">
        <v>261</v>
      </c>
      <c r="E114" s="143"/>
      <c r="F114" s="143"/>
      <c r="G114" s="143"/>
      <c r="I114" s="53" t="s">
        <v>223</v>
      </c>
      <c r="J114" s="16"/>
      <c r="K114" s="16"/>
      <c r="L114" s="17"/>
    </row>
    <row r="115" spans="1:12" x14ac:dyDescent="0.25">
      <c r="D115" s="144" t="s">
        <v>241</v>
      </c>
      <c r="E115" s="144"/>
      <c r="F115" s="144"/>
      <c r="G115" s="57" t="s">
        <v>242</v>
      </c>
    </row>
    <row r="116" spans="1:12" x14ac:dyDescent="0.25">
      <c r="D116" s="140" t="s">
        <v>243</v>
      </c>
      <c r="E116" s="140"/>
      <c r="F116" s="140"/>
      <c r="G116" s="58" t="s">
        <v>258</v>
      </c>
    </row>
    <row r="117" spans="1:12" x14ac:dyDescent="0.25">
      <c r="D117" s="140" t="s">
        <v>244</v>
      </c>
      <c r="E117" s="140"/>
      <c r="F117" s="140"/>
      <c r="G117" s="58" t="s">
        <v>257</v>
      </c>
    </row>
    <row r="118" spans="1:12" x14ac:dyDescent="0.25">
      <c r="D118" s="140" t="s">
        <v>245</v>
      </c>
      <c r="E118" s="140"/>
      <c r="F118" s="140"/>
      <c r="G118" s="58" t="s">
        <v>259</v>
      </c>
    </row>
    <row r="119" spans="1:12" x14ac:dyDescent="0.25">
      <c r="D119" s="140" t="s">
        <v>246</v>
      </c>
      <c r="E119" s="140"/>
      <c r="F119" s="140"/>
      <c r="G119" s="58" t="s">
        <v>259</v>
      </c>
    </row>
    <row r="120" spans="1:12" x14ac:dyDescent="0.25">
      <c r="D120" s="140" t="s">
        <v>232</v>
      </c>
      <c r="E120" s="140"/>
      <c r="F120" s="140"/>
      <c r="G120" s="58" t="s">
        <v>258</v>
      </c>
      <c r="I120" s="47"/>
    </row>
    <row r="121" spans="1:12" x14ac:dyDescent="0.25">
      <c r="D121" s="140" t="s">
        <v>247</v>
      </c>
      <c r="E121" s="140"/>
      <c r="F121" s="140"/>
      <c r="G121" s="58" t="s">
        <v>259</v>
      </c>
    </row>
    <row r="122" spans="1:12" x14ac:dyDescent="0.25">
      <c r="D122" s="140" t="s">
        <v>248</v>
      </c>
      <c r="E122" s="140"/>
      <c r="F122" s="140"/>
      <c r="G122" s="58" t="s">
        <v>257</v>
      </c>
    </row>
    <row r="123" spans="1:12" x14ac:dyDescent="0.25">
      <c r="D123" s="140" t="s">
        <v>249</v>
      </c>
      <c r="E123" s="140"/>
      <c r="F123" s="140"/>
      <c r="G123" s="58" t="s">
        <v>258</v>
      </c>
    </row>
    <row r="125" spans="1:12" ht="28.5" x14ac:dyDescent="0.45">
      <c r="A125" s="48" t="s">
        <v>321</v>
      </c>
    </row>
    <row r="126" spans="1:12" ht="18" x14ac:dyDescent="0.25">
      <c r="A126" s="46" t="s">
        <v>203</v>
      </c>
      <c r="D126" s="46" t="s">
        <v>209</v>
      </c>
      <c r="I126" s="46" t="s">
        <v>216</v>
      </c>
    </row>
    <row r="127" spans="1:12" x14ac:dyDescent="0.25">
      <c r="A127" s="54" t="s">
        <v>204</v>
      </c>
      <c r="B127" s="44" t="s">
        <v>263</v>
      </c>
      <c r="D127" s="15" t="s">
        <v>210</v>
      </c>
      <c r="E127" s="49"/>
      <c r="F127" s="49"/>
      <c r="G127" s="50"/>
      <c r="I127" s="54" t="s">
        <v>417</v>
      </c>
      <c r="J127" s="49"/>
      <c r="K127" s="49"/>
      <c r="L127" s="50"/>
    </row>
    <row r="128" spans="1:12" x14ac:dyDescent="0.25">
      <c r="A128" s="52" t="s">
        <v>205</v>
      </c>
      <c r="B128" s="51" t="s">
        <v>171</v>
      </c>
      <c r="D128" s="52" t="s">
        <v>211</v>
      </c>
      <c r="G128" s="51" t="s">
        <v>75</v>
      </c>
      <c r="I128" s="52" t="s">
        <v>217</v>
      </c>
      <c r="L128" s="51"/>
    </row>
    <row r="129" spans="1:12" x14ac:dyDescent="0.25">
      <c r="A129" s="52" t="s">
        <v>427</v>
      </c>
      <c r="B129" s="51" t="s">
        <v>75</v>
      </c>
      <c r="D129" s="52" t="s">
        <v>212</v>
      </c>
      <c r="G129" s="51"/>
      <c r="I129" s="52" t="s">
        <v>218</v>
      </c>
      <c r="J129" s="7" t="s">
        <v>328</v>
      </c>
      <c r="L129" s="51"/>
    </row>
    <row r="130" spans="1:12" x14ac:dyDescent="0.25">
      <c r="A130" s="52" t="s">
        <v>206</v>
      </c>
      <c r="B130" s="51" t="s">
        <v>310</v>
      </c>
      <c r="D130" s="52" t="s">
        <v>213</v>
      </c>
      <c r="G130" s="51" t="s">
        <v>335</v>
      </c>
      <c r="I130" s="52" t="s">
        <v>219</v>
      </c>
      <c r="K130" s="60"/>
      <c r="L130" s="61"/>
    </row>
    <row r="131" spans="1:12" x14ac:dyDescent="0.25">
      <c r="A131" s="52" t="s">
        <v>207</v>
      </c>
      <c r="B131" s="51" t="s">
        <v>75</v>
      </c>
      <c r="D131" s="52" t="s">
        <v>214</v>
      </c>
      <c r="G131" s="55"/>
      <c r="I131" s="52" t="s">
        <v>220</v>
      </c>
      <c r="J131" s="60"/>
      <c r="K131" s="60"/>
      <c r="L131" s="61"/>
    </row>
    <row r="132" spans="1:12" x14ac:dyDescent="0.25">
      <c r="A132" s="53" t="s">
        <v>208</v>
      </c>
      <c r="B132" s="17" t="s">
        <v>252</v>
      </c>
      <c r="D132" s="53" t="s">
        <v>215</v>
      </c>
      <c r="E132" s="16"/>
      <c r="F132" s="16"/>
      <c r="G132" s="56" t="s">
        <v>322</v>
      </c>
      <c r="I132" s="52" t="s">
        <v>221</v>
      </c>
      <c r="J132" s="7" t="s">
        <v>307</v>
      </c>
      <c r="K132" s="60"/>
      <c r="L132" s="61"/>
    </row>
    <row r="133" spans="1:12" x14ac:dyDescent="0.25">
      <c r="I133" s="52" t="s">
        <v>222</v>
      </c>
      <c r="J133" s="7" t="s">
        <v>313</v>
      </c>
      <c r="K133" s="60"/>
      <c r="L133" s="61"/>
    </row>
    <row r="134" spans="1:12" ht="26.25" x14ac:dyDescent="0.4">
      <c r="D134" s="143" t="s">
        <v>261</v>
      </c>
      <c r="E134" s="143"/>
      <c r="F134" s="143"/>
      <c r="G134" s="143"/>
      <c r="I134" s="53" t="s">
        <v>223</v>
      </c>
      <c r="J134" s="16"/>
      <c r="K134" s="16"/>
      <c r="L134" s="17"/>
    </row>
    <row r="135" spans="1:12" x14ac:dyDescent="0.25">
      <c r="D135" s="144" t="s">
        <v>241</v>
      </c>
      <c r="E135" s="144"/>
      <c r="F135" s="144"/>
      <c r="G135" s="57" t="s">
        <v>242</v>
      </c>
    </row>
    <row r="136" spans="1:12" x14ac:dyDescent="0.25">
      <c r="D136" s="140" t="s">
        <v>243</v>
      </c>
      <c r="E136" s="140"/>
      <c r="F136" s="140"/>
      <c r="G136" s="58" t="s">
        <v>258</v>
      </c>
    </row>
    <row r="137" spans="1:12" x14ac:dyDescent="0.25">
      <c r="D137" s="140" t="s">
        <v>244</v>
      </c>
      <c r="E137" s="140"/>
      <c r="F137" s="140"/>
      <c r="G137" s="58" t="s">
        <v>259</v>
      </c>
    </row>
    <row r="138" spans="1:12" x14ac:dyDescent="0.25">
      <c r="D138" s="140" t="s">
        <v>245</v>
      </c>
      <c r="E138" s="140"/>
      <c r="F138" s="140"/>
      <c r="G138" s="58" t="s">
        <v>258</v>
      </c>
    </row>
    <row r="139" spans="1:12" x14ac:dyDescent="0.25">
      <c r="D139" s="140" t="s">
        <v>246</v>
      </c>
      <c r="E139" s="140"/>
      <c r="F139" s="140"/>
      <c r="G139" s="58" t="s">
        <v>258</v>
      </c>
    </row>
    <row r="140" spans="1:12" x14ac:dyDescent="0.25">
      <c r="D140" s="140" t="s">
        <v>232</v>
      </c>
      <c r="E140" s="140"/>
      <c r="F140" s="140"/>
      <c r="G140" s="58" t="s">
        <v>256</v>
      </c>
      <c r="I140" s="47"/>
    </row>
    <row r="141" spans="1:12" x14ac:dyDescent="0.25">
      <c r="D141" s="140" t="s">
        <v>247</v>
      </c>
      <c r="E141" s="140"/>
      <c r="F141" s="140"/>
      <c r="G141" s="58" t="s">
        <v>258</v>
      </c>
    </row>
    <row r="142" spans="1:12" x14ac:dyDescent="0.25">
      <c r="D142" s="140" t="s">
        <v>248</v>
      </c>
      <c r="E142" s="140"/>
      <c r="F142" s="140"/>
      <c r="G142" s="58" t="s">
        <v>257</v>
      </c>
    </row>
    <row r="143" spans="1:12" x14ac:dyDescent="0.25">
      <c r="D143" s="140" t="s">
        <v>249</v>
      </c>
      <c r="E143" s="140"/>
      <c r="F143" s="140"/>
      <c r="G143" s="58" t="s">
        <v>258</v>
      </c>
    </row>
    <row r="145" spans="1:12" ht="28.5" x14ac:dyDescent="0.45">
      <c r="A145" s="48" t="s">
        <v>329</v>
      </c>
    </row>
    <row r="146" spans="1:12" ht="18" x14ac:dyDescent="0.25">
      <c r="A146" s="46" t="s">
        <v>203</v>
      </c>
      <c r="D146" s="46" t="s">
        <v>209</v>
      </c>
      <c r="I146" s="46" t="s">
        <v>216</v>
      </c>
    </row>
    <row r="147" spans="1:12" x14ac:dyDescent="0.25">
      <c r="A147" s="54" t="s">
        <v>204</v>
      </c>
      <c r="B147" s="44" t="s">
        <v>330</v>
      </c>
      <c r="D147" s="15" t="s">
        <v>210</v>
      </c>
      <c r="E147" s="49"/>
      <c r="F147" s="49"/>
      <c r="G147" s="50"/>
      <c r="I147" s="54" t="s">
        <v>417</v>
      </c>
      <c r="J147" s="49"/>
      <c r="K147" s="49"/>
      <c r="L147" s="50"/>
    </row>
    <row r="148" spans="1:12" x14ac:dyDescent="0.25">
      <c r="A148" s="52" t="s">
        <v>205</v>
      </c>
      <c r="B148" s="51" t="s">
        <v>333</v>
      </c>
      <c r="D148" s="52" t="s">
        <v>211</v>
      </c>
      <c r="G148" s="51" t="s">
        <v>75</v>
      </c>
      <c r="I148" s="52" t="s">
        <v>217</v>
      </c>
      <c r="J148" s="7" t="s">
        <v>305</v>
      </c>
      <c r="L148" s="51"/>
    </row>
    <row r="149" spans="1:12" x14ac:dyDescent="0.25">
      <c r="A149" s="52" t="s">
        <v>427</v>
      </c>
      <c r="B149" s="51" t="s">
        <v>75</v>
      </c>
      <c r="D149" s="52" t="s">
        <v>212</v>
      </c>
      <c r="G149" s="51" t="s">
        <v>75</v>
      </c>
      <c r="I149" s="52" t="s">
        <v>218</v>
      </c>
      <c r="J149" s="7" t="s">
        <v>346</v>
      </c>
      <c r="L149" s="51"/>
    </row>
    <row r="150" spans="1:12" x14ac:dyDescent="0.25">
      <c r="A150" s="52" t="s">
        <v>206</v>
      </c>
      <c r="B150" s="51" t="s">
        <v>310</v>
      </c>
      <c r="D150" s="52" t="s">
        <v>213</v>
      </c>
      <c r="G150" s="142" t="s">
        <v>474</v>
      </c>
      <c r="I150" s="52" t="s">
        <v>219</v>
      </c>
      <c r="J150" s="7" t="s">
        <v>347</v>
      </c>
      <c r="K150" s="60"/>
      <c r="L150" s="61"/>
    </row>
    <row r="151" spans="1:12" x14ac:dyDescent="0.25">
      <c r="A151" s="52" t="s">
        <v>207</v>
      </c>
      <c r="B151" s="51" t="s">
        <v>270</v>
      </c>
      <c r="D151" s="52" t="s">
        <v>214</v>
      </c>
      <c r="G151" s="142"/>
      <c r="I151" s="52" t="s">
        <v>220</v>
      </c>
      <c r="J151" s="60"/>
      <c r="K151" s="60"/>
      <c r="L151" s="61"/>
    </row>
    <row r="152" spans="1:12" x14ac:dyDescent="0.25">
      <c r="A152" s="52" t="s">
        <v>208</v>
      </c>
      <c r="B152" s="51" t="s">
        <v>272</v>
      </c>
      <c r="D152" s="53" t="s">
        <v>215</v>
      </c>
      <c r="E152" s="16"/>
      <c r="F152" s="16"/>
      <c r="G152" s="56" t="s">
        <v>336</v>
      </c>
      <c r="I152" s="52" t="s">
        <v>221</v>
      </c>
      <c r="J152" s="7" t="s">
        <v>348</v>
      </c>
      <c r="K152" s="60"/>
      <c r="L152" s="61"/>
    </row>
    <row r="153" spans="1:12" x14ac:dyDescent="0.25">
      <c r="A153" s="145" t="s">
        <v>334</v>
      </c>
      <c r="B153" s="146"/>
      <c r="I153" s="52" t="s">
        <v>222</v>
      </c>
      <c r="J153" s="7" t="s">
        <v>349</v>
      </c>
      <c r="K153" s="60"/>
      <c r="L153" s="61"/>
    </row>
    <row r="154" spans="1:12" ht="26.25" x14ac:dyDescent="0.4">
      <c r="D154" s="143" t="s">
        <v>261</v>
      </c>
      <c r="E154" s="143"/>
      <c r="F154" s="143"/>
      <c r="G154" s="143"/>
      <c r="I154" s="53" t="s">
        <v>223</v>
      </c>
      <c r="J154" s="16"/>
      <c r="K154" s="16"/>
      <c r="L154" s="17"/>
    </row>
    <row r="155" spans="1:12" x14ac:dyDescent="0.25">
      <c r="D155" s="144" t="s">
        <v>241</v>
      </c>
      <c r="E155" s="144"/>
      <c r="F155" s="144"/>
      <c r="G155" s="57" t="s">
        <v>242</v>
      </c>
    </row>
    <row r="156" spans="1:12" x14ac:dyDescent="0.25">
      <c r="D156" s="140" t="s">
        <v>243</v>
      </c>
      <c r="E156" s="140"/>
      <c r="F156" s="140"/>
      <c r="G156" s="58" t="s">
        <v>258</v>
      </c>
    </row>
    <row r="157" spans="1:12" x14ac:dyDescent="0.25">
      <c r="D157" s="140" t="s">
        <v>244</v>
      </c>
      <c r="E157" s="140"/>
      <c r="F157" s="140"/>
      <c r="G157" s="58" t="s">
        <v>257</v>
      </c>
    </row>
    <row r="158" spans="1:12" x14ac:dyDescent="0.25">
      <c r="D158" s="140" t="s">
        <v>245</v>
      </c>
      <c r="E158" s="140"/>
      <c r="F158" s="140"/>
      <c r="G158" s="58" t="s">
        <v>308</v>
      </c>
    </row>
    <row r="159" spans="1:12" x14ac:dyDescent="0.25">
      <c r="D159" s="140" t="s">
        <v>246</v>
      </c>
      <c r="E159" s="140"/>
      <c r="F159" s="140"/>
      <c r="G159" s="58" t="s">
        <v>257</v>
      </c>
    </row>
    <row r="160" spans="1:12" x14ac:dyDescent="0.25">
      <c r="D160" s="140" t="s">
        <v>232</v>
      </c>
      <c r="E160" s="140"/>
      <c r="F160" s="140"/>
      <c r="G160" s="58" t="s">
        <v>259</v>
      </c>
      <c r="I160" s="47"/>
    </row>
    <row r="161" spans="1:12" x14ac:dyDescent="0.25">
      <c r="D161" s="140" t="s">
        <v>247</v>
      </c>
      <c r="E161" s="140"/>
      <c r="F161" s="140"/>
      <c r="G161" s="58" t="s">
        <v>257</v>
      </c>
    </row>
    <row r="162" spans="1:12" x14ac:dyDescent="0.25">
      <c r="D162" s="140" t="s">
        <v>248</v>
      </c>
      <c r="E162" s="140"/>
      <c r="F162" s="140"/>
      <c r="G162" s="58" t="s">
        <v>258</v>
      </c>
    </row>
    <row r="163" spans="1:12" x14ac:dyDescent="0.25">
      <c r="D163" s="140" t="s">
        <v>249</v>
      </c>
      <c r="E163" s="140"/>
      <c r="F163" s="140"/>
      <c r="G163" s="58" t="s">
        <v>257</v>
      </c>
    </row>
    <row r="165" spans="1:12" ht="28.5" x14ac:dyDescent="0.45">
      <c r="A165" s="48" t="s">
        <v>344</v>
      </c>
    </row>
    <row r="166" spans="1:12" ht="18" x14ac:dyDescent="0.25">
      <c r="A166" s="46" t="s">
        <v>203</v>
      </c>
      <c r="D166" s="46" t="s">
        <v>209</v>
      </c>
      <c r="I166" s="46" t="s">
        <v>216</v>
      </c>
    </row>
    <row r="167" spans="1:12" x14ac:dyDescent="0.25">
      <c r="A167" s="54" t="s">
        <v>204</v>
      </c>
      <c r="B167" s="44" t="s">
        <v>278</v>
      </c>
      <c r="D167" s="15" t="s">
        <v>210</v>
      </c>
      <c r="E167" s="49"/>
      <c r="F167" s="49"/>
      <c r="G167" s="50"/>
      <c r="I167" s="54" t="s">
        <v>417</v>
      </c>
      <c r="J167" s="49"/>
      <c r="K167" s="49"/>
      <c r="L167" s="50"/>
    </row>
    <row r="168" spans="1:12" x14ac:dyDescent="0.25">
      <c r="A168" s="52" t="s">
        <v>205</v>
      </c>
      <c r="B168" s="51" t="s">
        <v>171</v>
      </c>
      <c r="D168" s="52" t="s">
        <v>211</v>
      </c>
      <c r="G168" s="51" t="s">
        <v>75</v>
      </c>
      <c r="I168" s="52" t="s">
        <v>217</v>
      </c>
      <c r="L168" s="51"/>
    </row>
    <row r="169" spans="1:12" x14ac:dyDescent="0.25">
      <c r="A169" s="52" t="s">
        <v>427</v>
      </c>
      <c r="B169" s="51" t="s">
        <v>75</v>
      </c>
      <c r="D169" s="52" t="s">
        <v>212</v>
      </c>
      <c r="G169" s="51" t="s">
        <v>270</v>
      </c>
      <c r="I169" s="52" t="s">
        <v>218</v>
      </c>
      <c r="J169" s="141" t="s">
        <v>475</v>
      </c>
      <c r="K169" s="141"/>
      <c r="L169" s="142"/>
    </row>
    <row r="170" spans="1:12" x14ac:dyDescent="0.25">
      <c r="A170" s="52" t="s">
        <v>206</v>
      </c>
      <c r="B170" s="51" t="s">
        <v>251</v>
      </c>
      <c r="D170" s="52" t="s">
        <v>213</v>
      </c>
      <c r="G170" s="51" t="s">
        <v>335</v>
      </c>
      <c r="I170" s="52" t="s">
        <v>219</v>
      </c>
      <c r="J170" s="141"/>
      <c r="K170" s="141"/>
      <c r="L170" s="142"/>
    </row>
    <row r="171" spans="1:12" x14ac:dyDescent="0.25">
      <c r="A171" s="52" t="s">
        <v>207</v>
      </c>
      <c r="B171" s="51" t="s">
        <v>75</v>
      </c>
      <c r="D171" s="52" t="s">
        <v>214</v>
      </c>
      <c r="G171" s="55"/>
      <c r="I171" s="52" t="s">
        <v>220</v>
      </c>
      <c r="J171" s="141" t="s">
        <v>337</v>
      </c>
      <c r="K171" s="141"/>
      <c r="L171" s="142"/>
    </row>
    <row r="172" spans="1:12" x14ac:dyDescent="0.25">
      <c r="A172" s="52" t="s">
        <v>208</v>
      </c>
      <c r="B172" s="51" t="s">
        <v>252</v>
      </c>
      <c r="D172" s="53" t="s">
        <v>215</v>
      </c>
      <c r="E172" s="16"/>
      <c r="F172" s="16"/>
      <c r="G172" s="56" t="s">
        <v>322</v>
      </c>
      <c r="I172" s="52" t="s">
        <v>221</v>
      </c>
      <c r="J172" s="141"/>
      <c r="K172" s="141"/>
      <c r="L172" s="142"/>
    </row>
    <row r="173" spans="1:12" x14ac:dyDescent="0.25">
      <c r="A173" s="145" t="s">
        <v>345</v>
      </c>
      <c r="B173" s="146"/>
      <c r="I173" s="52" t="s">
        <v>222</v>
      </c>
      <c r="K173" s="60"/>
      <c r="L173" s="61"/>
    </row>
    <row r="174" spans="1:12" ht="26.25" x14ac:dyDescent="0.4">
      <c r="D174" s="143" t="s">
        <v>261</v>
      </c>
      <c r="E174" s="143"/>
      <c r="F174" s="143"/>
      <c r="G174" s="143"/>
      <c r="I174" s="53" t="s">
        <v>223</v>
      </c>
      <c r="J174" s="16"/>
      <c r="K174" s="16"/>
      <c r="L174" s="17"/>
    </row>
    <row r="175" spans="1:12" x14ac:dyDescent="0.25">
      <c r="D175" s="144" t="s">
        <v>241</v>
      </c>
      <c r="E175" s="144"/>
      <c r="F175" s="144"/>
      <c r="G175" s="57" t="s">
        <v>242</v>
      </c>
    </row>
    <row r="176" spans="1:12" x14ac:dyDescent="0.25">
      <c r="D176" s="140" t="s">
        <v>243</v>
      </c>
      <c r="E176" s="140"/>
      <c r="F176" s="140"/>
      <c r="G176" s="58" t="s">
        <v>259</v>
      </c>
    </row>
    <row r="177" spans="1:12" x14ac:dyDescent="0.25">
      <c r="D177" s="140" t="s">
        <v>244</v>
      </c>
      <c r="E177" s="140"/>
      <c r="F177" s="140"/>
      <c r="G177" s="58" t="s">
        <v>257</v>
      </c>
    </row>
    <row r="178" spans="1:12" x14ac:dyDescent="0.25">
      <c r="D178" s="140" t="s">
        <v>245</v>
      </c>
      <c r="E178" s="140"/>
      <c r="F178" s="140"/>
      <c r="G178" s="58" t="s">
        <v>259</v>
      </c>
    </row>
    <row r="179" spans="1:12" x14ac:dyDescent="0.25">
      <c r="D179" s="140" t="s">
        <v>246</v>
      </c>
      <c r="E179" s="140"/>
      <c r="F179" s="140"/>
      <c r="G179" s="58" t="s">
        <v>258</v>
      </c>
    </row>
    <row r="180" spans="1:12" x14ac:dyDescent="0.25">
      <c r="D180" s="140" t="s">
        <v>232</v>
      </c>
      <c r="E180" s="140"/>
      <c r="F180" s="140"/>
      <c r="G180" s="58" t="s">
        <v>257</v>
      </c>
      <c r="I180" s="47"/>
    </row>
    <row r="181" spans="1:12" x14ac:dyDescent="0.25">
      <c r="D181" s="140" t="s">
        <v>247</v>
      </c>
      <c r="E181" s="140"/>
      <c r="F181" s="140"/>
      <c r="G181" s="58" t="s">
        <v>257</v>
      </c>
    </row>
    <row r="182" spans="1:12" x14ac:dyDescent="0.25">
      <c r="D182" s="140" t="s">
        <v>248</v>
      </c>
      <c r="E182" s="140"/>
      <c r="F182" s="140"/>
      <c r="G182" s="58" t="s">
        <v>259</v>
      </c>
    </row>
    <row r="183" spans="1:12" x14ac:dyDescent="0.25">
      <c r="D183" s="140" t="s">
        <v>249</v>
      </c>
      <c r="E183" s="140"/>
      <c r="F183" s="140"/>
      <c r="G183" s="58" t="s">
        <v>258</v>
      </c>
    </row>
    <row r="185" spans="1:12" ht="28.5" x14ac:dyDescent="0.45">
      <c r="A185" s="48" t="s">
        <v>413</v>
      </c>
    </row>
    <row r="186" spans="1:12" ht="18" x14ac:dyDescent="0.25">
      <c r="A186" s="46" t="s">
        <v>203</v>
      </c>
      <c r="D186" s="46" t="s">
        <v>209</v>
      </c>
      <c r="I186" s="46" t="s">
        <v>216</v>
      </c>
    </row>
    <row r="187" spans="1:12" x14ac:dyDescent="0.25">
      <c r="A187" s="54" t="s">
        <v>204</v>
      </c>
      <c r="B187" s="44" t="s">
        <v>269</v>
      </c>
      <c r="D187" s="15" t="s">
        <v>210</v>
      </c>
      <c r="E187" s="49"/>
      <c r="F187" s="49"/>
      <c r="G187" s="50"/>
      <c r="I187" s="54" t="s">
        <v>417</v>
      </c>
      <c r="J187" s="49"/>
      <c r="K187" s="49"/>
      <c r="L187" s="50"/>
    </row>
    <row r="188" spans="1:12" x14ac:dyDescent="0.25">
      <c r="A188" s="52" t="s">
        <v>205</v>
      </c>
      <c r="B188" s="51" t="s">
        <v>171</v>
      </c>
      <c r="D188" s="52" t="s">
        <v>211</v>
      </c>
      <c r="G188" s="51" t="s">
        <v>270</v>
      </c>
      <c r="I188" s="52" t="s">
        <v>217</v>
      </c>
      <c r="L188" s="51"/>
    </row>
    <row r="189" spans="1:12" x14ac:dyDescent="0.25">
      <c r="A189" s="52" t="s">
        <v>427</v>
      </c>
      <c r="B189" s="51" t="s">
        <v>75</v>
      </c>
      <c r="D189" s="52" t="s">
        <v>212</v>
      </c>
      <c r="G189" s="51" t="s">
        <v>75</v>
      </c>
      <c r="I189" s="52" t="s">
        <v>218</v>
      </c>
      <c r="L189" s="51"/>
    </row>
    <row r="190" spans="1:12" x14ac:dyDescent="0.25">
      <c r="A190" s="52" t="s">
        <v>206</v>
      </c>
      <c r="B190" s="51" t="s">
        <v>251</v>
      </c>
      <c r="D190" s="52" t="s">
        <v>213</v>
      </c>
      <c r="G190" s="51" t="s">
        <v>335</v>
      </c>
      <c r="I190" s="52" t="s">
        <v>219</v>
      </c>
      <c r="K190" s="60"/>
      <c r="L190" s="61"/>
    </row>
    <row r="191" spans="1:12" x14ac:dyDescent="0.25">
      <c r="A191" s="52" t="s">
        <v>207</v>
      </c>
      <c r="B191" s="51" t="s">
        <v>75</v>
      </c>
      <c r="D191" s="52" t="s">
        <v>214</v>
      </c>
      <c r="G191" s="55" t="s">
        <v>75</v>
      </c>
      <c r="I191" s="52" t="s">
        <v>220</v>
      </c>
      <c r="J191" s="141" t="s">
        <v>337</v>
      </c>
      <c r="K191" s="141"/>
      <c r="L191" s="142"/>
    </row>
    <row r="192" spans="1:12" x14ac:dyDescent="0.25">
      <c r="A192" s="53" t="s">
        <v>208</v>
      </c>
      <c r="B192" s="17" t="s">
        <v>252</v>
      </c>
      <c r="D192" s="53" t="s">
        <v>215</v>
      </c>
      <c r="E192" s="16"/>
      <c r="F192" s="16"/>
      <c r="G192" s="56" t="s">
        <v>312</v>
      </c>
      <c r="I192" s="52" t="s">
        <v>221</v>
      </c>
      <c r="J192" s="141"/>
      <c r="K192" s="141"/>
      <c r="L192" s="142"/>
    </row>
    <row r="193" spans="1:12" x14ac:dyDescent="0.25">
      <c r="A193" s="156"/>
      <c r="B193" s="156"/>
      <c r="I193" s="52" t="s">
        <v>222</v>
      </c>
      <c r="K193" s="60"/>
      <c r="L193" s="61"/>
    </row>
    <row r="194" spans="1:12" ht="26.25" x14ac:dyDescent="0.4">
      <c r="D194" s="143" t="s">
        <v>261</v>
      </c>
      <c r="E194" s="143"/>
      <c r="F194" s="143"/>
      <c r="G194" s="143"/>
      <c r="I194" s="53" t="s">
        <v>223</v>
      </c>
      <c r="J194" s="16"/>
      <c r="K194" s="16"/>
      <c r="L194" s="17"/>
    </row>
    <row r="195" spans="1:12" x14ac:dyDescent="0.25">
      <c r="D195" s="144" t="s">
        <v>241</v>
      </c>
      <c r="E195" s="144"/>
      <c r="F195" s="144"/>
      <c r="G195" s="57" t="s">
        <v>242</v>
      </c>
    </row>
    <row r="196" spans="1:12" x14ac:dyDescent="0.25">
      <c r="D196" s="140" t="s">
        <v>243</v>
      </c>
      <c r="E196" s="140"/>
      <c r="F196" s="140"/>
      <c r="G196" s="58" t="s">
        <v>259</v>
      </c>
    </row>
    <row r="197" spans="1:12" x14ac:dyDescent="0.25">
      <c r="D197" s="140" t="s">
        <v>244</v>
      </c>
      <c r="E197" s="140"/>
      <c r="F197" s="140"/>
      <c r="G197" s="58" t="s">
        <v>256</v>
      </c>
    </row>
    <row r="198" spans="1:12" x14ac:dyDescent="0.25">
      <c r="D198" s="140" t="s">
        <v>245</v>
      </c>
      <c r="E198" s="140"/>
      <c r="F198" s="140"/>
      <c r="G198" s="58" t="s">
        <v>256</v>
      </c>
    </row>
    <row r="199" spans="1:12" x14ac:dyDescent="0.25">
      <c r="D199" s="140" t="s">
        <v>246</v>
      </c>
      <c r="E199" s="140"/>
      <c r="F199" s="140"/>
      <c r="G199" s="58" t="s">
        <v>256</v>
      </c>
    </row>
    <row r="200" spans="1:12" x14ac:dyDescent="0.25">
      <c r="D200" s="140" t="s">
        <v>232</v>
      </c>
      <c r="E200" s="140"/>
      <c r="F200" s="140"/>
      <c r="G200" s="58" t="s">
        <v>308</v>
      </c>
      <c r="I200" s="47"/>
    </row>
    <row r="201" spans="1:12" x14ac:dyDescent="0.25">
      <c r="D201" s="140" t="s">
        <v>247</v>
      </c>
      <c r="E201" s="140"/>
      <c r="F201" s="140"/>
      <c r="G201" s="58" t="s">
        <v>257</v>
      </c>
    </row>
    <row r="202" spans="1:12" x14ac:dyDescent="0.25">
      <c r="D202" s="140" t="s">
        <v>248</v>
      </c>
      <c r="E202" s="140"/>
      <c r="F202" s="140"/>
      <c r="G202" s="58" t="s">
        <v>259</v>
      </c>
    </row>
    <row r="203" spans="1:12" x14ac:dyDescent="0.25">
      <c r="D203" s="140" t="s">
        <v>249</v>
      </c>
      <c r="E203" s="140"/>
      <c r="F203" s="140"/>
      <c r="G203" s="58" t="s">
        <v>259</v>
      </c>
    </row>
    <row r="205" spans="1:12" ht="28.5" x14ac:dyDescent="0.45">
      <c r="A205" s="48" t="s">
        <v>360</v>
      </c>
    </row>
    <row r="206" spans="1:12" ht="18" x14ac:dyDescent="0.25">
      <c r="A206" s="46" t="s">
        <v>203</v>
      </c>
      <c r="D206" s="46" t="s">
        <v>209</v>
      </c>
      <c r="I206" s="46" t="s">
        <v>216</v>
      </c>
    </row>
    <row r="207" spans="1:12" x14ac:dyDescent="0.25">
      <c r="A207" s="54" t="s">
        <v>204</v>
      </c>
      <c r="B207" s="44" t="s">
        <v>354</v>
      </c>
      <c r="D207" s="15" t="s">
        <v>210</v>
      </c>
      <c r="E207" s="49"/>
      <c r="F207" s="49"/>
      <c r="G207" s="50"/>
      <c r="I207" s="54" t="s">
        <v>417</v>
      </c>
      <c r="J207" s="49"/>
      <c r="K207" s="49"/>
      <c r="L207" s="50"/>
    </row>
    <row r="208" spans="1:12" x14ac:dyDescent="0.25">
      <c r="A208" s="52" t="s">
        <v>205</v>
      </c>
      <c r="B208" s="51" t="s">
        <v>316</v>
      </c>
      <c r="D208" s="52" t="s">
        <v>211</v>
      </c>
      <c r="G208" s="51" t="s">
        <v>270</v>
      </c>
      <c r="I208" s="52" t="s">
        <v>217</v>
      </c>
      <c r="J208" s="141" t="s">
        <v>362</v>
      </c>
      <c r="K208" s="141"/>
      <c r="L208" s="142"/>
    </row>
    <row r="209" spans="1:12" x14ac:dyDescent="0.25">
      <c r="A209" s="52" t="s">
        <v>427</v>
      </c>
      <c r="B209" s="51" t="s">
        <v>75</v>
      </c>
      <c r="D209" s="52" t="s">
        <v>212</v>
      </c>
      <c r="G209" s="51" t="s">
        <v>75</v>
      </c>
      <c r="I209" s="52" t="s">
        <v>218</v>
      </c>
      <c r="J209" s="141"/>
      <c r="K209" s="141"/>
      <c r="L209" s="142"/>
    </row>
    <row r="210" spans="1:12" x14ac:dyDescent="0.25">
      <c r="A210" s="52" t="s">
        <v>206</v>
      </c>
      <c r="B210" s="51" t="s">
        <v>251</v>
      </c>
      <c r="D210" s="52" t="s">
        <v>213</v>
      </c>
      <c r="G210" s="51" t="s">
        <v>361</v>
      </c>
      <c r="I210" s="52" t="s">
        <v>219</v>
      </c>
      <c r="J210" s="141" t="s">
        <v>363</v>
      </c>
      <c r="K210" s="141"/>
      <c r="L210" s="142"/>
    </row>
    <row r="211" spans="1:12" ht="15" customHeight="1" x14ac:dyDescent="0.25">
      <c r="A211" s="52" t="s">
        <v>207</v>
      </c>
      <c r="B211" s="51" t="s">
        <v>75</v>
      </c>
      <c r="D211" s="52" t="s">
        <v>214</v>
      </c>
      <c r="G211" s="55" t="s">
        <v>75</v>
      </c>
      <c r="I211" s="52" t="s">
        <v>220</v>
      </c>
      <c r="J211" s="141"/>
      <c r="K211" s="141"/>
      <c r="L211" s="142"/>
    </row>
    <row r="212" spans="1:12" x14ac:dyDescent="0.25">
      <c r="A212" s="53" t="s">
        <v>208</v>
      </c>
      <c r="B212" s="17" t="s">
        <v>272</v>
      </c>
      <c r="D212" s="53" t="s">
        <v>215</v>
      </c>
      <c r="E212" s="16"/>
      <c r="F212" s="16"/>
      <c r="G212" s="56" t="s">
        <v>312</v>
      </c>
      <c r="I212" s="52" t="s">
        <v>221</v>
      </c>
      <c r="L212" s="51"/>
    </row>
    <row r="213" spans="1:12" x14ac:dyDescent="0.25">
      <c r="A213" s="156"/>
      <c r="B213" s="156"/>
      <c r="I213" s="52" t="s">
        <v>222</v>
      </c>
      <c r="K213" s="60"/>
      <c r="L213" s="61"/>
    </row>
    <row r="214" spans="1:12" ht="26.25" x14ac:dyDescent="0.4">
      <c r="D214" s="143" t="s">
        <v>261</v>
      </c>
      <c r="E214" s="143"/>
      <c r="F214" s="143"/>
      <c r="G214" s="143"/>
      <c r="I214" s="53" t="s">
        <v>223</v>
      </c>
      <c r="J214" s="157" t="s">
        <v>364</v>
      </c>
      <c r="K214" s="157"/>
      <c r="L214" s="158"/>
    </row>
    <row r="215" spans="1:12" x14ac:dyDescent="0.25">
      <c r="D215" s="144" t="s">
        <v>241</v>
      </c>
      <c r="E215" s="144"/>
      <c r="F215" s="144"/>
      <c r="G215" s="57" t="s">
        <v>242</v>
      </c>
    </row>
    <row r="216" spans="1:12" x14ac:dyDescent="0.25">
      <c r="D216" s="140" t="s">
        <v>243</v>
      </c>
      <c r="E216" s="140"/>
      <c r="F216" s="140"/>
      <c r="G216" s="58" t="s">
        <v>258</v>
      </c>
    </row>
    <row r="217" spans="1:12" x14ac:dyDescent="0.25">
      <c r="D217" s="140" t="s">
        <v>244</v>
      </c>
      <c r="E217" s="140"/>
      <c r="F217" s="140"/>
      <c r="G217" s="58" t="s">
        <v>259</v>
      </c>
    </row>
    <row r="218" spans="1:12" x14ac:dyDescent="0.25">
      <c r="D218" s="140" t="s">
        <v>245</v>
      </c>
      <c r="E218" s="140"/>
      <c r="F218" s="140"/>
      <c r="G218" s="58" t="s">
        <v>256</v>
      </c>
    </row>
    <row r="219" spans="1:12" x14ac:dyDescent="0.25">
      <c r="D219" s="140" t="s">
        <v>246</v>
      </c>
      <c r="E219" s="140"/>
      <c r="F219" s="140"/>
      <c r="G219" s="58" t="s">
        <v>256</v>
      </c>
    </row>
    <row r="220" spans="1:12" x14ac:dyDescent="0.25">
      <c r="D220" s="140" t="s">
        <v>232</v>
      </c>
      <c r="E220" s="140"/>
      <c r="F220" s="140"/>
      <c r="G220" s="58" t="s">
        <v>258</v>
      </c>
      <c r="I220" s="47"/>
    </row>
    <row r="221" spans="1:12" x14ac:dyDescent="0.25">
      <c r="D221" s="140" t="s">
        <v>247</v>
      </c>
      <c r="E221" s="140"/>
      <c r="F221" s="140"/>
      <c r="G221" s="58" t="s">
        <v>258</v>
      </c>
    </row>
    <row r="222" spans="1:12" x14ac:dyDescent="0.25">
      <c r="D222" s="140" t="s">
        <v>248</v>
      </c>
      <c r="E222" s="140"/>
      <c r="F222" s="140"/>
      <c r="G222" s="58" t="s">
        <v>259</v>
      </c>
    </row>
    <row r="223" spans="1:12" x14ac:dyDescent="0.25">
      <c r="D223" s="140" t="s">
        <v>249</v>
      </c>
      <c r="E223" s="140"/>
      <c r="F223" s="140"/>
      <c r="G223" s="58" t="s">
        <v>256</v>
      </c>
    </row>
    <row r="225" spans="1:12" ht="28.5" x14ac:dyDescent="0.45">
      <c r="A225" s="48" t="s">
        <v>365</v>
      </c>
    </row>
    <row r="226" spans="1:12" ht="18" x14ac:dyDescent="0.25">
      <c r="A226" s="46" t="s">
        <v>203</v>
      </c>
      <c r="D226" s="46" t="s">
        <v>209</v>
      </c>
      <c r="I226" s="46" t="s">
        <v>216</v>
      </c>
    </row>
    <row r="227" spans="1:12" x14ac:dyDescent="0.25">
      <c r="A227" s="54" t="s">
        <v>204</v>
      </c>
      <c r="B227" s="44" t="s">
        <v>263</v>
      </c>
      <c r="D227" s="15" t="s">
        <v>210</v>
      </c>
      <c r="E227" s="49"/>
      <c r="F227" s="49"/>
      <c r="G227" s="50"/>
      <c r="I227" s="54" t="s">
        <v>417</v>
      </c>
      <c r="J227" s="49" t="s">
        <v>490</v>
      </c>
      <c r="K227" s="49"/>
      <c r="L227" s="50"/>
    </row>
    <row r="228" spans="1:12" ht="15" customHeight="1" x14ac:dyDescent="0.25">
      <c r="A228" s="52" t="s">
        <v>205</v>
      </c>
      <c r="B228" s="51" t="s">
        <v>265</v>
      </c>
      <c r="D228" s="52" t="s">
        <v>211</v>
      </c>
      <c r="G228" s="51" t="s">
        <v>75</v>
      </c>
      <c r="I228" s="52" t="s">
        <v>217</v>
      </c>
      <c r="J228" s="141" t="s">
        <v>372</v>
      </c>
      <c r="K228" s="141"/>
      <c r="L228" s="142"/>
    </row>
    <row r="229" spans="1:12" x14ac:dyDescent="0.25">
      <c r="A229" s="52" t="s">
        <v>427</v>
      </c>
      <c r="B229" s="51" t="s">
        <v>75</v>
      </c>
      <c r="D229" s="52" t="s">
        <v>212</v>
      </c>
      <c r="G229" s="51" t="s">
        <v>270</v>
      </c>
      <c r="I229" s="52" t="s">
        <v>218</v>
      </c>
      <c r="J229" s="141"/>
      <c r="K229" s="141"/>
      <c r="L229" s="142"/>
    </row>
    <row r="230" spans="1:12" ht="15" customHeight="1" x14ac:dyDescent="0.25">
      <c r="A230" s="52" t="s">
        <v>206</v>
      </c>
      <c r="B230" s="51" t="s">
        <v>310</v>
      </c>
      <c r="D230" s="52" t="s">
        <v>213</v>
      </c>
      <c r="G230" s="51" t="s">
        <v>361</v>
      </c>
      <c r="I230" s="52" t="s">
        <v>219</v>
      </c>
      <c r="J230" s="141"/>
      <c r="K230" s="141"/>
      <c r="L230" s="142"/>
    </row>
    <row r="231" spans="1:12" x14ac:dyDescent="0.25">
      <c r="A231" s="52" t="s">
        <v>207</v>
      </c>
      <c r="B231" s="51" t="s">
        <v>270</v>
      </c>
      <c r="D231" s="52" t="s">
        <v>214</v>
      </c>
      <c r="G231" s="55" t="s">
        <v>75</v>
      </c>
      <c r="I231" s="52" t="s">
        <v>220</v>
      </c>
      <c r="J231" s="141" t="s">
        <v>363</v>
      </c>
      <c r="K231" s="141"/>
      <c r="L231" s="142"/>
    </row>
    <row r="232" spans="1:12" x14ac:dyDescent="0.25">
      <c r="A232" s="53" t="s">
        <v>208</v>
      </c>
      <c r="B232" s="17" t="s">
        <v>272</v>
      </c>
      <c r="D232" s="53" t="s">
        <v>215</v>
      </c>
      <c r="E232" s="16"/>
      <c r="F232" s="16"/>
      <c r="G232" s="56" t="s">
        <v>322</v>
      </c>
      <c r="I232" s="52" t="s">
        <v>221</v>
      </c>
      <c r="J232" s="141"/>
      <c r="K232" s="141"/>
      <c r="L232" s="142"/>
    </row>
    <row r="233" spans="1:12" x14ac:dyDescent="0.25">
      <c r="A233" s="156"/>
      <c r="B233" s="156"/>
      <c r="I233" s="52" t="s">
        <v>222</v>
      </c>
      <c r="K233" s="60"/>
      <c r="L233" s="61"/>
    </row>
    <row r="234" spans="1:12" ht="26.25" x14ac:dyDescent="0.4">
      <c r="D234" s="143" t="s">
        <v>261</v>
      </c>
      <c r="E234" s="143"/>
      <c r="F234" s="143"/>
      <c r="G234" s="143"/>
      <c r="I234" s="53" t="s">
        <v>223</v>
      </c>
      <c r="J234" s="16"/>
      <c r="K234" s="16"/>
      <c r="L234" s="17"/>
    </row>
    <row r="235" spans="1:12" x14ac:dyDescent="0.25">
      <c r="D235" s="144" t="s">
        <v>241</v>
      </c>
      <c r="E235" s="144"/>
      <c r="F235" s="144"/>
      <c r="G235" s="57" t="s">
        <v>242</v>
      </c>
    </row>
    <row r="236" spans="1:12" x14ac:dyDescent="0.25">
      <c r="D236" s="140" t="s">
        <v>243</v>
      </c>
      <c r="E236" s="140"/>
      <c r="F236" s="140"/>
      <c r="G236" s="58" t="s">
        <v>258</v>
      </c>
    </row>
    <row r="237" spans="1:12" x14ac:dyDescent="0.25">
      <c r="D237" s="140" t="s">
        <v>244</v>
      </c>
      <c r="E237" s="140"/>
      <c r="F237" s="140"/>
      <c r="G237" s="58" t="s">
        <v>258</v>
      </c>
    </row>
    <row r="238" spans="1:12" x14ac:dyDescent="0.25">
      <c r="D238" s="140" t="s">
        <v>245</v>
      </c>
      <c r="E238" s="140"/>
      <c r="F238" s="140"/>
      <c r="G238" s="58" t="s">
        <v>259</v>
      </c>
    </row>
    <row r="239" spans="1:12" x14ac:dyDescent="0.25">
      <c r="D239" s="140" t="s">
        <v>246</v>
      </c>
      <c r="E239" s="140"/>
      <c r="F239" s="140"/>
      <c r="G239" s="58" t="s">
        <v>257</v>
      </c>
    </row>
    <row r="240" spans="1:12" x14ac:dyDescent="0.25">
      <c r="D240" s="140" t="s">
        <v>232</v>
      </c>
      <c r="E240" s="140"/>
      <c r="F240" s="140"/>
      <c r="G240" s="58" t="s">
        <v>259</v>
      </c>
      <c r="I240" s="47"/>
    </row>
    <row r="241" spans="1:12" x14ac:dyDescent="0.25">
      <c r="D241" s="140" t="s">
        <v>247</v>
      </c>
      <c r="E241" s="140"/>
      <c r="F241" s="140"/>
      <c r="G241" s="58" t="s">
        <v>257</v>
      </c>
    </row>
    <row r="242" spans="1:12" x14ac:dyDescent="0.25">
      <c r="D242" s="140" t="s">
        <v>248</v>
      </c>
      <c r="E242" s="140"/>
      <c r="F242" s="140"/>
      <c r="G242" s="58" t="s">
        <v>257</v>
      </c>
    </row>
    <row r="243" spans="1:12" x14ac:dyDescent="0.25">
      <c r="D243" s="140" t="s">
        <v>249</v>
      </c>
      <c r="E243" s="140"/>
      <c r="F243" s="140"/>
      <c r="G243" s="58" t="s">
        <v>258</v>
      </c>
    </row>
    <row r="245" spans="1:12" ht="28.5" x14ac:dyDescent="0.45">
      <c r="A245" s="48" t="s">
        <v>377</v>
      </c>
    </row>
    <row r="246" spans="1:12" ht="18" x14ac:dyDescent="0.25">
      <c r="A246" s="46" t="s">
        <v>203</v>
      </c>
      <c r="D246" s="46" t="s">
        <v>209</v>
      </c>
      <c r="I246" s="46" t="s">
        <v>216</v>
      </c>
    </row>
    <row r="247" spans="1:12" x14ac:dyDescent="0.25">
      <c r="A247" s="54" t="s">
        <v>204</v>
      </c>
      <c r="B247" s="44" t="s">
        <v>263</v>
      </c>
      <c r="D247" s="15" t="s">
        <v>210</v>
      </c>
      <c r="E247" s="49"/>
      <c r="F247" s="49"/>
      <c r="G247" s="50"/>
      <c r="I247" s="54" t="s">
        <v>417</v>
      </c>
      <c r="J247" s="49"/>
      <c r="K247" s="49"/>
      <c r="L247" s="50"/>
    </row>
    <row r="248" spans="1:12" ht="15" customHeight="1" x14ac:dyDescent="0.25">
      <c r="A248" s="52" t="s">
        <v>205</v>
      </c>
      <c r="B248" s="51" t="s">
        <v>316</v>
      </c>
      <c r="D248" s="52" t="s">
        <v>211</v>
      </c>
      <c r="G248" s="51" t="s">
        <v>75</v>
      </c>
      <c r="I248" s="52" t="s">
        <v>217</v>
      </c>
      <c r="J248" s="156" t="s">
        <v>378</v>
      </c>
      <c r="K248" s="156"/>
      <c r="L248" s="159"/>
    </row>
    <row r="249" spans="1:12" x14ac:dyDescent="0.25">
      <c r="A249" s="52" t="s">
        <v>427</v>
      </c>
      <c r="B249" s="51" t="s">
        <v>270</v>
      </c>
      <c r="D249" s="52" t="s">
        <v>212</v>
      </c>
      <c r="G249" s="51" t="s">
        <v>270</v>
      </c>
      <c r="I249" s="52" t="s">
        <v>218</v>
      </c>
      <c r="J249" s="156"/>
      <c r="K249" s="156"/>
      <c r="L249" s="159"/>
    </row>
    <row r="250" spans="1:12" x14ac:dyDescent="0.25">
      <c r="A250" s="52" t="s">
        <v>206</v>
      </c>
      <c r="B250" s="51" t="s">
        <v>251</v>
      </c>
      <c r="D250" s="52" t="s">
        <v>213</v>
      </c>
      <c r="G250" s="51" t="s">
        <v>270</v>
      </c>
      <c r="I250" s="52" t="s">
        <v>219</v>
      </c>
      <c r="J250" s="141" t="s">
        <v>372</v>
      </c>
      <c r="K250" s="141"/>
      <c r="L250" s="142"/>
    </row>
    <row r="251" spans="1:12" ht="15" customHeight="1" x14ac:dyDescent="0.25">
      <c r="A251" s="52" t="s">
        <v>207</v>
      </c>
      <c r="B251" s="51" t="s">
        <v>75</v>
      </c>
      <c r="D251" s="52" t="s">
        <v>214</v>
      </c>
      <c r="G251" s="55" t="s">
        <v>75</v>
      </c>
      <c r="I251" s="52" t="s">
        <v>220</v>
      </c>
      <c r="J251" s="141"/>
      <c r="K251" s="141"/>
      <c r="L251" s="142"/>
    </row>
    <row r="252" spans="1:12" x14ac:dyDescent="0.25">
      <c r="A252" s="53" t="s">
        <v>208</v>
      </c>
      <c r="B252" s="17" t="s">
        <v>252</v>
      </c>
      <c r="D252" s="53" t="s">
        <v>215</v>
      </c>
      <c r="E252" s="16"/>
      <c r="F252" s="16"/>
      <c r="G252" s="56" t="s">
        <v>322</v>
      </c>
      <c r="I252" s="52" t="s">
        <v>221</v>
      </c>
      <c r="J252" s="141"/>
      <c r="K252" s="141"/>
      <c r="L252" s="142"/>
    </row>
    <row r="253" spans="1:12" x14ac:dyDescent="0.25">
      <c r="A253" s="156"/>
      <c r="B253" s="156"/>
      <c r="I253" s="52" t="s">
        <v>222</v>
      </c>
      <c r="J253" s="141" t="s">
        <v>363</v>
      </c>
      <c r="K253" s="141"/>
      <c r="L253" s="142"/>
    </row>
    <row r="254" spans="1:12" ht="26.25" x14ac:dyDescent="0.4">
      <c r="D254" s="143" t="s">
        <v>261</v>
      </c>
      <c r="E254" s="143"/>
      <c r="F254" s="143"/>
      <c r="G254" s="143"/>
      <c r="I254" s="53" t="s">
        <v>223</v>
      </c>
      <c r="J254" s="160"/>
      <c r="K254" s="160"/>
      <c r="L254" s="161"/>
    </row>
    <row r="255" spans="1:12" x14ac:dyDescent="0.25">
      <c r="D255" s="144" t="s">
        <v>241</v>
      </c>
      <c r="E255" s="144"/>
      <c r="F255" s="144"/>
      <c r="G255" s="57" t="s">
        <v>242</v>
      </c>
    </row>
    <row r="256" spans="1:12" x14ac:dyDescent="0.25">
      <c r="D256" s="140" t="s">
        <v>243</v>
      </c>
      <c r="E256" s="140"/>
      <c r="F256" s="140"/>
      <c r="G256" s="58" t="s">
        <v>308</v>
      </c>
    </row>
    <row r="257" spans="1:12" x14ac:dyDescent="0.25">
      <c r="D257" s="140" t="s">
        <v>244</v>
      </c>
      <c r="E257" s="140"/>
      <c r="F257" s="140"/>
      <c r="G257" s="58" t="s">
        <v>308</v>
      </c>
    </row>
    <row r="258" spans="1:12" x14ac:dyDescent="0.25">
      <c r="D258" s="140" t="s">
        <v>245</v>
      </c>
      <c r="E258" s="140"/>
      <c r="F258" s="140"/>
      <c r="G258" s="58" t="s">
        <v>257</v>
      </c>
    </row>
    <row r="259" spans="1:12" x14ac:dyDescent="0.25">
      <c r="D259" s="140" t="s">
        <v>246</v>
      </c>
      <c r="E259" s="140"/>
      <c r="F259" s="140"/>
      <c r="G259" s="58" t="s">
        <v>257</v>
      </c>
    </row>
    <row r="260" spans="1:12" x14ac:dyDescent="0.25">
      <c r="D260" s="140" t="s">
        <v>232</v>
      </c>
      <c r="E260" s="140"/>
      <c r="F260" s="140"/>
      <c r="G260" s="58" t="s">
        <v>257</v>
      </c>
      <c r="I260" s="47"/>
    </row>
    <row r="261" spans="1:12" x14ac:dyDescent="0.25">
      <c r="D261" s="140" t="s">
        <v>247</v>
      </c>
      <c r="E261" s="140"/>
      <c r="F261" s="140"/>
      <c r="G261" s="58" t="s">
        <v>257</v>
      </c>
    </row>
    <row r="262" spans="1:12" x14ac:dyDescent="0.25">
      <c r="D262" s="140" t="s">
        <v>248</v>
      </c>
      <c r="E262" s="140"/>
      <c r="F262" s="140"/>
      <c r="G262" s="58" t="s">
        <v>258</v>
      </c>
    </row>
    <row r="263" spans="1:12" x14ac:dyDescent="0.25">
      <c r="D263" s="140" t="s">
        <v>249</v>
      </c>
      <c r="E263" s="140"/>
      <c r="F263" s="140"/>
      <c r="G263" s="58" t="s">
        <v>257</v>
      </c>
    </row>
    <row r="265" spans="1:12" ht="28.5" x14ac:dyDescent="0.45">
      <c r="A265" s="48" t="s">
        <v>395</v>
      </c>
    </row>
    <row r="266" spans="1:12" ht="18" x14ac:dyDescent="0.25">
      <c r="A266" s="46" t="s">
        <v>203</v>
      </c>
      <c r="D266" s="46" t="s">
        <v>209</v>
      </c>
      <c r="I266" s="46" t="s">
        <v>216</v>
      </c>
    </row>
    <row r="267" spans="1:12" x14ac:dyDescent="0.25">
      <c r="A267" s="54" t="s">
        <v>204</v>
      </c>
      <c r="B267" s="44" t="s">
        <v>263</v>
      </c>
      <c r="D267" s="15" t="s">
        <v>210</v>
      </c>
      <c r="E267" s="49"/>
      <c r="F267" s="49"/>
      <c r="G267" s="50"/>
      <c r="I267" s="54" t="s">
        <v>417</v>
      </c>
      <c r="J267" s="49"/>
      <c r="K267" s="49"/>
      <c r="L267" s="50"/>
    </row>
    <row r="268" spans="1:12" x14ac:dyDescent="0.25">
      <c r="A268" s="52" t="s">
        <v>205</v>
      </c>
      <c r="B268" s="51" t="s">
        <v>316</v>
      </c>
      <c r="D268" s="52" t="s">
        <v>211</v>
      </c>
      <c r="G268" s="51" t="s">
        <v>75</v>
      </c>
      <c r="I268" s="52" t="s">
        <v>217</v>
      </c>
      <c r="J268" s="156" t="s">
        <v>378</v>
      </c>
      <c r="K268" s="156"/>
      <c r="L268" s="159"/>
    </row>
    <row r="269" spans="1:12" x14ac:dyDescent="0.25">
      <c r="A269" s="52" t="s">
        <v>427</v>
      </c>
      <c r="B269" s="51" t="s">
        <v>75</v>
      </c>
      <c r="D269" s="52" t="s">
        <v>212</v>
      </c>
      <c r="G269" s="51" t="s">
        <v>270</v>
      </c>
      <c r="I269" s="52" t="s">
        <v>218</v>
      </c>
      <c r="J269" s="156"/>
      <c r="K269" s="156"/>
      <c r="L269" s="159"/>
    </row>
    <row r="270" spans="1:12" x14ac:dyDescent="0.25">
      <c r="A270" s="52" t="s">
        <v>206</v>
      </c>
      <c r="B270" s="51" t="s">
        <v>310</v>
      </c>
      <c r="D270" s="52" t="s">
        <v>213</v>
      </c>
      <c r="G270" s="51" t="s">
        <v>270</v>
      </c>
      <c r="I270" s="52" t="s">
        <v>219</v>
      </c>
      <c r="J270" s="60"/>
      <c r="K270" s="60"/>
      <c r="L270" s="61"/>
    </row>
    <row r="271" spans="1:12" x14ac:dyDescent="0.25">
      <c r="A271" s="52" t="s">
        <v>207</v>
      </c>
      <c r="B271" s="51" t="s">
        <v>75</v>
      </c>
      <c r="D271" s="52" t="s">
        <v>214</v>
      </c>
      <c r="G271" s="55" t="s">
        <v>75</v>
      </c>
      <c r="I271" s="52" t="s">
        <v>220</v>
      </c>
      <c r="J271" s="7" t="s">
        <v>396</v>
      </c>
      <c r="K271" s="60"/>
      <c r="L271" s="61"/>
    </row>
    <row r="272" spans="1:12" x14ac:dyDescent="0.25">
      <c r="A272" s="53" t="s">
        <v>208</v>
      </c>
      <c r="B272" s="17" t="s">
        <v>272</v>
      </c>
      <c r="D272" s="53" t="s">
        <v>215</v>
      </c>
      <c r="E272" s="16"/>
      <c r="F272" s="16"/>
      <c r="G272" s="56" t="s">
        <v>312</v>
      </c>
      <c r="I272" s="52" t="s">
        <v>221</v>
      </c>
      <c r="J272" s="60"/>
      <c r="K272" s="60"/>
      <c r="L272" s="61"/>
    </row>
    <row r="273" spans="1:12" x14ac:dyDescent="0.25">
      <c r="A273" s="156"/>
      <c r="B273" s="156"/>
      <c r="I273" s="52" t="s">
        <v>222</v>
      </c>
      <c r="J273" s="141" t="s">
        <v>363</v>
      </c>
      <c r="K273" s="141"/>
      <c r="L273" s="142"/>
    </row>
    <row r="274" spans="1:12" ht="26.25" x14ac:dyDescent="0.4">
      <c r="D274" s="143" t="s">
        <v>261</v>
      </c>
      <c r="E274" s="143"/>
      <c r="F274" s="143"/>
      <c r="G274" s="143"/>
      <c r="I274" s="53" t="s">
        <v>223</v>
      </c>
      <c r="J274" s="160"/>
      <c r="K274" s="160"/>
      <c r="L274" s="161"/>
    </row>
    <row r="275" spans="1:12" x14ac:dyDescent="0.25">
      <c r="D275" s="144" t="s">
        <v>241</v>
      </c>
      <c r="E275" s="144"/>
      <c r="F275" s="144"/>
      <c r="G275" s="57" t="s">
        <v>242</v>
      </c>
    </row>
    <row r="276" spans="1:12" x14ac:dyDescent="0.25">
      <c r="D276" s="140" t="s">
        <v>243</v>
      </c>
      <c r="E276" s="140"/>
      <c r="F276" s="140"/>
      <c r="G276" s="58" t="s">
        <v>258</v>
      </c>
    </row>
    <row r="277" spans="1:12" x14ac:dyDescent="0.25">
      <c r="D277" s="140" t="s">
        <v>244</v>
      </c>
      <c r="E277" s="140"/>
      <c r="F277" s="140"/>
      <c r="G277" s="58" t="s">
        <v>259</v>
      </c>
    </row>
    <row r="278" spans="1:12" x14ac:dyDescent="0.25">
      <c r="D278" s="140" t="s">
        <v>245</v>
      </c>
      <c r="E278" s="140"/>
      <c r="F278" s="140"/>
      <c r="G278" s="58" t="s">
        <v>257</v>
      </c>
    </row>
    <row r="279" spans="1:12" x14ac:dyDescent="0.25">
      <c r="D279" s="140" t="s">
        <v>246</v>
      </c>
      <c r="E279" s="140"/>
      <c r="F279" s="140"/>
      <c r="G279" s="58" t="s">
        <v>257</v>
      </c>
    </row>
    <row r="280" spans="1:12" x14ac:dyDescent="0.25">
      <c r="D280" s="140" t="s">
        <v>232</v>
      </c>
      <c r="E280" s="140"/>
      <c r="F280" s="140"/>
      <c r="G280" s="58" t="s">
        <v>257</v>
      </c>
      <c r="I280" s="47"/>
    </row>
    <row r="281" spans="1:12" x14ac:dyDescent="0.25">
      <c r="D281" s="140" t="s">
        <v>247</v>
      </c>
      <c r="E281" s="140"/>
      <c r="F281" s="140"/>
      <c r="G281" s="58" t="s">
        <v>257</v>
      </c>
    </row>
    <row r="282" spans="1:12" x14ac:dyDescent="0.25">
      <c r="D282" s="140" t="s">
        <v>248</v>
      </c>
      <c r="E282" s="140"/>
      <c r="F282" s="140"/>
      <c r="G282" s="58" t="s">
        <v>258</v>
      </c>
    </row>
    <row r="283" spans="1:12" x14ac:dyDescent="0.25">
      <c r="D283" s="140" t="s">
        <v>249</v>
      </c>
      <c r="E283" s="140"/>
      <c r="F283" s="140"/>
      <c r="G283" s="58" t="s">
        <v>257</v>
      </c>
    </row>
    <row r="285" spans="1:12" ht="28.5" x14ac:dyDescent="0.45">
      <c r="A285" s="48" t="s">
        <v>401</v>
      </c>
    </row>
    <row r="286" spans="1:12" ht="18" x14ac:dyDescent="0.25">
      <c r="A286" s="46" t="s">
        <v>203</v>
      </c>
      <c r="D286" s="46" t="s">
        <v>209</v>
      </c>
      <c r="I286" s="46" t="s">
        <v>216</v>
      </c>
    </row>
    <row r="287" spans="1:12" x14ac:dyDescent="0.25">
      <c r="A287" s="54" t="s">
        <v>204</v>
      </c>
      <c r="B287" s="44" t="s">
        <v>263</v>
      </c>
      <c r="D287" s="15" t="s">
        <v>210</v>
      </c>
      <c r="E287" s="49"/>
      <c r="F287" s="49"/>
      <c r="G287" s="50"/>
      <c r="I287" s="54" t="s">
        <v>417</v>
      </c>
      <c r="J287" s="49" t="s">
        <v>404</v>
      </c>
      <c r="K287" s="49"/>
      <c r="L287" s="50"/>
    </row>
    <row r="288" spans="1:12" x14ac:dyDescent="0.25">
      <c r="A288" s="52" t="s">
        <v>205</v>
      </c>
      <c r="B288" s="51" t="s">
        <v>279</v>
      </c>
      <c r="D288" s="52" t="s">
        <v>211</v>
      </c>
      <c r="G288" s="51" t="s">
        <v>75</v>
      </c>
      <c r="I288" s="52" t="s">
        <v>217</v>
      </c>
      <c r="J288" s="64" t="s">
        <v>405</v>
      </c>
      <c r="K288" s="64"/>
      <c r="L288" s="55"/>
    </row>
    <row r="289" spans="1:12" x14ac:dyDescent="0.25">
      <c r="A289" s="52" t="s">
        <v>427</v>
      </c>
      <c r="B289" s="51" t="s">
        <v>75</v>
      </c>
      <c r="D289" s="52" t="s">
        <v>212</v>
      </c>
      <c r="G289" s="51" t="s">
        <v>75</v>
      </c>
      <c r="I289" s="52" t="s">
        <v>218</v>
      </c>
      <c r="J289" s="64"/>
      <c r="K289" s="64"/>
      <c r="L289" s="55"/>
    </row>
    <row r="290" spans="1:12" x14ac:dyDescent="0.25">
      <c r="A290" s="52" t="s">
        <v>206</v>
      </c>
      <c r="B290" s="51" t="s">
        <v>251</v>
      </c>
      <c r="D290" s="52" t="s">
        <v>213</v>
      </c>
      <c r="G290" s="51" t="s">
        <v>75</v>
      </c>
      <c r="I290" s="52" t="s">
        <v>219</v>
      </c>
      <c r="J290" s="60"/>
      <c r="K290" s="60"/>
      <c r="L290" s="61"/>
    </row>
    <row r="291" spans="1:12" x14ac:dyDescent="0.25">
      <c r="A291" s="52" t="s">
        <v>207</v>
      </c>
      <c r="B291" s="51" t="s">
        <v>75</v>
      </c>
      <c r="D291" s="52" t="s">
        <v>214</v>
      </c>
      <c r="G291" s="55" t="s">
        <v>403</v>
      </c>
      <c r="I291" s="52" t="s">
        <v>220</v>
      </c>
      <c r="K291" s="60"/>
      <c r="L291" s="61"/>
    </row>
    <row r="292" spans="1:12" x14ac:dyDescent="0.25">
      <c r="A292" s="52" t="s">
        <v>208</v>
      </c>
      <c r="B292" s="110" t="s">
        <v>402</v>
      </c>
      <c r="D292" s="53" t="s">
        <v>215</v>
      </c>
      <c r="E292" s="16"/>
      <c r="F292" s="16"/>
      <c r="G292" s="56" t="s">
        <v>312</v>
      </c>
      <c r="I292" s="52" t="s">
        <v>221</v>
      </c>
      <c r="J292" s="60"/>
      <c r="K292" s="60"/>
      <c r="L292" s="61"/>
    </row>
    <row r="293" spans="1:12" x14ac:dyDescent="0.25">
      <c r="A293" s="63"/>
      <c r="B293" s="113"/>
      <c r="I293" s="52" t="s">
        <v>222</v>
      </c>
      <c r="J293" s="60"/>
      <c r="K293" s="60"/>
      <c r="L293" s="61"/>
    </row>
    <row r="294" spans="1:12" ht="26.25" x14ac:dyDescent="0.4">
      <c r="D294" s="143" t="s">
        <v>261</v>
      </c>
      <c r="E294" s="143"/>
      <c r="F294" s="143"/>
      <c r="G294" s="143"/>
      <c r="I294" s="53" t="s">
        <v>223</v>
      </c>
      <c r="J294" s="65"/>
      <c r="K294" s="65"/>
      <c r="L294" s="66"/>
    </row>
    <row r="295" spans="1:12" x14ac:dyDescent="0.25">
      <c r="D295" s="144" t="s">
        <v>241</v>
      </c>
      <c r="E295" s="144"/>
      <c r="F295" s="144"/>
      <c r="G295" s="57" t="s">
        <v>242</v>
      </c>
    </row>
    <row r="296" spans="1:12" x14ac:dyDescent="0.25">
      <c r="D296" s="140" t="s">
        <v>243</v>
      </c>
      <c r="E296" s="140"/>
      <c r="F296" s="140"/>
      <c r="G296" s="58" t="s">
        <v>258</v>
      </c>
    </row>
    <row r="297" spans="1:12" x14ac:dyDescent="0.25">
      <c r="D297" s="140" t="s">
        <v>244</v>
      </c>
      <c r="E297" s="140"/>
      <c r="F297" s="140"/>
      <c r="G297" s="58" t="s">
        <v>258</v>
      </c>
    </row>
    <row r="298" spans="1:12" x14ac:dyDescent="0.25">
      <c r="D298" s="140" t="s">
        <v>245</v>
      </c>
      <c r="E298" s="140"/>
      <c r="F298" s="140"/>
      <c r="G298" s="58" t="s">
        <v>256</v>
      </c>
    </row>
    <row r="299" spans="1:12" x14ac:dyDescent="0.25">
      <c r="D299" s="140" t="s">
        <v>246</v>
      </c>
      <c r="E299" s="140"/>
      <c r="F299" s="140"/>
      <c r="G299" s="58" t="s">
        <v>259</v>
      </c>
    </row>
    <row r="300" spans="1:12" x14ac:dyDescent="0.25">
      <c r="D300" s="140" t="s">
        <v>232</v>
      </c>
      <c r="E300" s="140"/>
      <c r="F300" s="140"/>
      <c r="G300" s="58" t="s">
        <v>257</v>
      </c>
      <c r="I300" s="47"/>
    </row>
    <row r="301" spans="1:12" x14ac:dyDescent="0.25">
      <c r="D301" s="140" t="s">
        <v>247</v>
      </c>
      <c r="E301" s="140"/>
      <c r="F301" s="140"/>
      <c r="G301" s="58" t="s">
        <v>259</v>
      </c>
    </row>
    <row r="302" spans="1:12" x14ac:dyDescent="0.25">
      <c r="D302" s="140" t="s">
        <v>248</v>
      </c>
      <c r="E302" s="140"/>
      <c r="F302" s="140"/>
      <c r="G302" s="58" t="s">
        <v>258</v>
      </c>
    </row>
    <row r="303" spans="1:12" x14ac:dyDescent="0.25">
      <c r="D303" s="140" t="s">
        <v>249</v>
      </c>
      <c r="E303" s="140"/>
      <c r="F303" s="140"/>
      <c r="G303" s="58" t="s">
        <v>258</v>
      </c>
    </row>
    <row r="305" spans="1:12" ht="28.5" x14ac:dyDescent="0.45">
      <c r="A305" s="48" t="s">
        <v>414</v>
      </c>
    </row>
    <row r="306" spans="1:12" ht="18" x14ac:dyDescent="0.25">
      <c r="A306" s="46" t="s">
        <v>203</v>
      </c>
      <c r="D306" s="46" t="s">
        <v>209</v>
      </c>
      <c r="I306" s="46" t="s">
        <v>216</v>
      </c>
    </row>
    <row r="307" spans="1:12" x14ac:dyDescent="0.25">
      <c r="A307" s="54" t="s">
        <v>204</v>
      </c>
      <c r="B307" s="44" t="s">
        <v>269</v>
      </c>
      <c r="D307" s="15" t="s">
        <v>210</v>
      </c>
      <c r="E307" s="49"/>
      <c r="F307" s="49"/>
      <c r="G307" s="50"/>
      <c r="I307" s="54" t="s">
        <v>417</v>
      </c>
      <c r="J307" s="49" t="s">
        <v>426</v>
      </c>
      <c r="K307" s="49"/>
      <c r="L307" s="50"/>
    </row>
    <row r="308" spans="1:12" x14ac:dyDescent="0.25">
      <c r="A308" s="52" t="s">
        <v>205</v>
      </c>
      <c r="B308" s="51" t="s">
        <v>265</v>
      </c>
      <c r="D308" s="52" t="s">
        <v>211</v>
      </c>
      <c r="G308" s="51" t="s">
        <v>75</v>
      </c>
      <c r="I308" s="52" t="s">
        <v>217</v>
      </c>
      <c r="J308" s="67" t="s">
        <v>217</v>
      </c>
      <c r="K308" s="64"/>
      <c r="L308" s="55"/>
    </row>
    <row r="309" spans="1:12" x14ac:dyDescent="0.25">
      <c r="A309" s="52" t="s">
        <v>427</v>
      </c>
      <c r="B309" s="51" t="s">
        <v>270</v>
      </c>
      <c r="D309" s="52" t="s">
        <v>212</v>
      </c>
      <c r="G309" s="51" t="s">
        <v>270</v>
      </c>
      <c r="I309" s="52" t="s">
        <v>218</v>
      </c>
      <c r="J309" s="64"/>
      <c r="K309" s="64"/>
      <c r="L309" s="55"/>
    </row>
    <row r="310" spans="1:12" x14ac:dyDescent="0.25">
      <c r="A310" s="52" t="s">
        <v>206</v>
      </c>
      <c r="B310" s="51" t="s">
        <v>310</v>
      </c>
      <c r="D310" s="52" t="s">
        <v>213</v>
      </c>
      <c r="G310" s="51" t="s">
        <v>75</v>
      </c>
      <c r="I310" s="52" t="s">
        <v>219</v>
      </c>
      <c r="J310" s="60"/>
      <c r="K310" s="60"/>
      <c r="L310" s="61"/>
    </row>
    <row r="311" spans="1:12" x14ac:dyDescent="0.25">
      <c r="A311" s="52" t="s">
        <v>207</v>
      </c>
      <c r="B311" s="51" t="s">
        <v>270</v>
      </c>
      <c r="D311" s="52" t="s">
        <v>214</v>
      </c>
      <c r="G311" s="55" t="s">
        <v>416</v>
      </c>
      <c r="I311" s="52" t="s">
        <v>220</v>
      </c>
      <c r="J311" s="7" t="s">
        <v>418</v>
      </c>
      <c r="K311" s="60"/>
      <c r="L311" s="61"/>
    </row>
    <row r="312" spans="1:12" x14ac:dyDescent="0.25">
      <c r="A312" s="52" t="s">
        <v>208</v>
      </c>
      <c r="B312" s="110" t="s">
        <v>415</v>
      </c>
      <c r="D312" s="53" t="s">
        <v>215</v>
      </c>
      <c r="E312" s="16"/>
      <c r="F312" s="16"/>
      <c r="G312" s="56" t="s">
        <v>322</v>
      </c>
      <c r="I312" s="52" t="s">
        <v>221</v>
      </c>
      <c r="J312" s="60"/>
      <c r="K312" s="60"/>
      <c r="L312" s="61"/>
    </row>
    <row r="313" spans="1:12" x14ac:dyDescent="0.25">
      <c r="A313" s="63"/>
      <c r="B313" s="113"/>
      <c r="I313" s="52" t="s">
        <v>222</v>
      </c>
      <c r="J313" s="60"/>
      <c r="K313" s="60"/>
      <c r="L313" s="61"/>
    </row>
    <row r="314" spans="1:12" ht="26.25" x14ac:dyDescent="0.4">
      <c r="D314" s="143" t="s">
        <v>261</v>
      </c>
      <c r="E314" s="143"/>
      <c r="F314" s="143"/>
      <c r="G314" s="143"/>
      <c r="I314" s="53" t="s">
        <v>223</v>
      </c>
      <c r="J314" s="65"/>
      <c r="K314" s="65"/>
      <c r="L314" s="66"/>
    </row>
    <row r="315" spans="1:12" x14ac:dyDescent="0.25">
      <c r="D315" s="144" t="s">
        <v>241</v>
      </c>
      <c r="E315" s="144"/>
      <c r="F315" s="144"/>
      <c r="G315" s="57" t="s">
        <v>242</v>
      </c>
    </row>
    <row r="316" spans="1:12" x14ac:dyDescent="0.25">
      <c r="D316" s="140" t="s">
        <v>243</v>
      </c>
      <c r="E316" s="140"/>
      <c r="F316" s="140"/>
      <c r="G316" s="58" t="s">
        <v>256</v>
      </c>
    </row>
    <row r="317" spans="1:12" x14ac:dyDescent="0.25">
      <c r="D317" s="140" t="s">
        <v>244</v>
      </c>
      <c r="E317" s="140"/>
      <c r="F317" s="140"/>
      <c r="G317" s="58" t="s">
        <v>256</v>
      </c>
    </row>
    <row r="318" spans="1:12" x14ac:dyDescent="0.25">
      <c r="D318" s="140" t="s">
        <v>245</v>
      </c>
      <c r="E318" s="140"/>
      <c r="F318" s="140"/>
      <c r="G318" s="58" t="s">
        <v>257</v>
      </c>
    </row>
    <row r="319" spans="1:12" x14ac:dyDescent="0.25">
      <c r="D319" s="140" t="s">
        <v>246</v>
      </c>
      <c r="E319" s="140"/>
      <c r="F319" s="140"/>
      <c r="G319" s="58" t="s">
        <v>257</v>
      </c>
    </row>
    <row r="320" spans="1:12" x14ac:dyDescent="0.25">
      <c r="D320" s="140" t="s">
        <v>232</v>
      </c>
      <c r="E320" s="140"/>
      <c r="F320" s="140"/>
      <c r="G320" s="58" t="s">
        <v>259</v>
      </c>
      <c r="I320" s="47"/>
    </row>
    <row r="321" spans="1:12" x14ac:dyDescent="0.25">
      <c r="D321" s="140" t="s">
        <v>247</v>
      </c>
      <c r="E321" s="140"/>
      <c r="F321" s="140"/>
      <c r="G321" s="58" t="s">
        <v>256</v>
      </c>
    </row>
    <row r="322" spans="1:12" x14ac:dyDescent="0.25">
      <c r="D322" s="140" t="s">
        <v>248</v>
      </c>
      <c r="E322" s="140"/>
      <c r="F322" s="140"/>
      <c r="G322" s="58" t="s">
        <v>257</v>
      </c>
    </row>
    <row r="323" spans="1:12" x14ac:dyDescent="0.25">
      <c r="D323" s="140" t="s">
        <v>249</v>
      </c>
      <c r="E323" s="140"/>
      <c r="F323" s="140"/>
      <c r="G323" s="58" t="s">
        <v>259</v>
      </c>
    </row>
    <row r="325" spans="1:12" ht="28.5" x14ac:dyDescent="0.45">
      <c r="A325" s="48" t="s">
        <v>424</v>
      </c>
    </row>
    <row r="326" spans="1:12" ht="18" x14ac:dyDescent="0.25">
      <c r="A326" s="46" t="s">
        <v>203</v>
      </c>
      <c r="D326" s="46" t="s">
        <v>209</v>
      </c>
      <c r="I326" s="46" t="s">
        <v>216</v>
      </c>
    </row>
    <row r="327" spans="1:12" x14ac:dyDescent="0.25">
      <c r="A327" s="54" t="s">
        <v>204</v>
      </c>
      <c r="B327" s="44" t="s">
        <v>278</v>
      </c>
      <c r="D327" s="15" t="s">
        <v>210</v>
      </c>
      <c r="E327" s="49"/>
      <c r="F327" s="49"/>
      <c r="G327" s="50"/>
      <c r="I327" s="54" t="s">
        <v>417</v>
      </c>
      <c r="J327" s="49" t="s">
        <v>426</v>
      </c>
      <c r="K327" s="49"/>
      <c r="L327" s="50"/>
    </row>
    <row r="328" spans="1:12" x14ac:dyDescent="0.25">
      <c r="A328" s="52" t="s">
        <v>205</v>
      </c>
      <c r="B328" s="51" t="s">
        <v>316</v>
      </c>
      <c r="D328" s="52" t="s">
        <v>211</v>
      </c>
      <c r="G328" s="51" t="s">
        <v>75</v>
      </c>
      <c r="I328" s="52" t="s">
        <v>217</v>
      </c>
      <c r="J328" s="64" t="s">
        <v>217</v>
      </c>
      <c r="K328" s="64"/>
      <c r="L328" s="55"/>
    </row>
    <row r="329" spans="1:12" x14ac:dyDescent="0.25">
      <c r="A329" s="52" t="s">
        <v>427</v>
      </c>
      <c r="B329" s="51" t="s">
        <v>270</v>
      </c>
      <c r="D329" s="52" t="s">
        <v>212</v>
      </c>
      <c r="G329" s="51" t="s">
        <v>75</v>
      </c>
      <c r="I329" s="52" t="s">
        <v>218</v>
      </c>
      <c r="J329" s="64"/>
      <c r="K329" s="64"/>
      <c r="L329" s="55"/>
    </row>
    <row r="330" spans="1:12" x14ac:dyDescent="0.25">
      <c r="A330" s="52" t="s">
        <v>206</v>
      </c>
      <c r="B330" s="51" t="s">
        <v>271</v>
      </c>
      <c r="D330" s="52" t="s">
        <v>213</v>
      </c>
      <c r="G330" s="51" t="s">
        <v>270</v>
      </c>
      <c r="I330" s="52" t="s">
        <v>219</v>
      </c>
      <c r="J330" s="60"/>
      <c r="K330" s="60"/>
      <c r="L330" s="61"/>
    </row>
    <row r="331" spans="1:12" x14ac:dyDescent="0.25">
      <c r="A331" s="52" t="s">
        <v>207</v>
      </c>
      <c r="B331" s="51" t="s">
        <v>270</v>
      </c>
      <c r="D331" s="52" t="s">
        <v>214</v>
      </c>
      <c r="G331" s="55" t="s">
        <v>416</v>
      </c>
      <c r="I331" s="52" t="s">
        <v>220</v>
      </c>
      <c r="J331" s="7" t="s">
        <v>418</v>
      </c>
      <c r="K331" s="60"/>
      <c r="L331" s="61"/>
    </row>
    <row r="332" spans="1:12" x14ac:dyDescent="0.25">
      <c r="A332" s="52" t="s">
        <v>208</v>
      </c>
      <c r="B332" s="110" t="s">
        <v>425</v>
      </c>
      <c r="D332" s="53" t="s">
        <v>215</v>
      </c>
      <c r="E332" s="16"/>
      <c r="F332" s="16"/>
      <c r="G332" s="56" t="s">
        <v>322</v>
      </c>
      <c r="I332" s="52" t="s">
        <v>221</v>
      </c>
      <c r="J332" s="60"/>
      <c r="K332" s="60"/>
      <c r="L332" s="61"/>
    </row>
    <row r="333" spans="1:12" x14ac:dyDescent="0.25">
      <c r="A333" s="63"/>
      <c r="B333" s="113"/>
      <c r="I333" s="52" t="s">
        <v>222</v>
      </c>
      <c r="J333" s="60"/>
      <c r="K333" s="60"/>
      <c r="L333" s="61"/>
    </row>
    <row r="334" spans="1:12" ht="26.25" x14ac:dyDescent="0.4">
      <c r="D334" s="143" t="s">
        <v>261</v>
      </c>
      <c r="E334" s="143"/>
      <c r="F334" s="143"/>
      <c r="G334" s="143"/>
      <c r="I334" s="53" t="s">
        <v>223</v>
      </c>
      <c r="J334" s="65"/>
      <c r="K334" s="65"/>
      <c r="L334" s="66"/>
    </row>
    <row r="335" spans="1:12" x14ac:dyDescent="0.25">
      <c r="D335" s="144" t="s">
        <v>241</v>
      </c>
      <c r="E335" s="144"/>
      <c r="F335" s="144"/>
      <c r="G335" s="57" t="s">
        <v>242</v>
      </c>
    </row>
    <row r="336" spans="1:12" x14ac:dyDescent="0.25">
      <c r="D336" s="140" t="s">
        <v>243</v>
      </c>
      <c r="E336" s="140"/>
      <c r="F336" s="140"/>
      <c r="G336" s="58" t="s">
        <v>259</v>
      </c>
    </row>
    <row r="337" spans="1:12" x14ac:dyDescent="0.25">
      <c r="D337" s="140" t="s">
        <v>244</v>
      </c>
      <c r="E337" s="140"/>
      <c r="F337" s="140"/>
      <c r="G337" s="58" t="s">
        <v>257</v>
      </c>
    </row>
    <row r="338" spans="1:12" x14ac:dyDescent="0.25">
      <c r="D338" s="140" t="s">
        <v>245</v>
      </c>
      <c r="E338" s="140"/>
      <c r="F338" s="140"/>
      <c r="G338" s="58" t="s">
        <v>257</v>
      </c>
    </row>
    <row r="339" spans="1:12" x14ac:dyDescent="0.25">
      <c r="D339" s="140" t="s">
        <v>246</v>
      </c>
      <c r="E339" s="140"/>
      <c r="F339" s="140"/>
      <c r="G339" s="58" t="s">
        <v>257</v>
      </c>
    </row>
    <row r="340" spans="1:12" x14ac:dyDescent="0.25">
      <c r="D340" s="140" t="s">
        <v>232</v>
      </c>
      <c r="E340" s="140"/>
      <c r="F340" s="140"/>
      <c r="G340" s="58" t="s">
        <v>258</v>
      </c>
      <c r="I340" s="47"/>
    </row>
    <row r="341" spans="1:12" x14ac:dyDescent="0.25">
      <c r="D341" s="140" t="s">
        <v>247</v>
      </c>
      <c r="E341" s="140"/>
      <c r="F341" s="140"/>
      <c r="G341" s="58" t="s">
        <v>258</v>
      </c>
    </row>
    <row r="342" spans="1:12" x14ac:dyDescent="0.25">
      <c r="D342" s="140" t="s">
        <v>248</v>
      </c>
      <c r="E342" s="140"/>
      <c r="F342" s="140"/>
      <c r="G342" s="58" t="s">
        <v>257</v>
      </c>
    </row>
    <row r="343" spans="1:12" x14ac:dyDescent="0.25">
      <c r="D343" s="140" t="s">
        <v>249</v>
      </c>
      <c r="E343" s="140"/>
      <c r="F343" s="140"/>
      <c r="G343" s="58" t="s">
        <v>257</v>
      </c>
    </row>
    <row r="345" spans="1:12" ht="28.5" x14ac:dyDescent="0.45">
      <c r="A345" s="48" t="s">
        <v>436</v>
      </c>
    </row>
    <row r="346" spans="1:12" ht="18" x14ac:dyDescent="0.25">
      <c r="A346" s="46" t="s">
        <v>203</v>
      </c>
      <c r="D346" s="46" t="s">
        <v>209</v>
      </c>
      <c r="I346" s="46" t="s">
        <v>216</v>
      </c>
    </row>
    <row r="347" spans="1:12" x14ac:dyDescent="0.25">
      <c r="A347" s="54" t="s">
        <v>204</v>
      </c>
      <c r="B347" s="44" t="s">
        <v>263</v>
      </c>
      <c r="D347" s="15" t="s">
        <v>210</v>
      </c>
      <c r="E347" s="49"/>
      <c r="F347" s="49"/>
      <c r="G347" s="50"/>
      <c r="I347" s="54" t="s">
        <v>417</v>
      </c>
      <c r="J347" s="49"/>
      <c r="K347" s="49"/>
      <c r="L347" s="50"/>
    </row>
    <row r="348" spans="1:12" x14ac:dyDescent="0.25">
      <c r="A348" s="52" t="s">
        <v>205</v>
      </c>
      <c r="B348" s="51" t="s">
        <v>265</v>
      </c>
      <c r="D348" s="52" t="s">
        <v>211</v>
      </c>
      <c r="G348" s="51" t="s">
        <v>75</v>
      </c>
      <c r="I348" s="52" t="s">
        <v>217</v>
      </c>
      <c r="J348" s="64" t="s">
        <v>217</v>
      </c>
      <c r="K348" s="64"/>
      <c r="L348" s="55"/>
    </row>
    <row r="349" spans="1:12" x14ac:dyDescent="0.25">
      <c r="A349" s="52" t="s">
        <v>427</v>
      </c>
      <c r="B349" s="51" t="s">
        <v>270</v>
      </c>
      <c r="D349" s="52" t="s">
        <v>212</v>
      </c>
      <c r="G349" s="51" t="s">
        <v>75</v>
      </c>
      <c r="I349" s="52" t="s">
        <v>218</v>
      </c>
      <c r="J349" s="64" t="s">
        <v>442</v>
      </c>
      <c r="K349" s="64"/>
      <c r="L349" s="55"/>
    </row>
    <row r="350" spans="1:12" x14ac:dyDescent="0.25">
      <c r="A350" s="52" t="s">
        <v>206</v>
      </c>
      <c r="B350" s="51" t="s">
        <v>251</v>
      </c>
      <c r="D350" s="52" t="s">
        <v>213</v>
      </c>
      <c r="G350" s="51" t="s">
        <v>270</v>
      </c>
      <c r="I350" s="52" t="s">
        <v>219</v>
      </c>
      <c r="J350" s="60"/>
      <c r="K350" s="60"/>
      <c r="L350" s="61"/>
    </row>
    <row r="351" spans="1:12" x14ac:dyDescent="0.25">
      <c r="A351" s="52" t="s">
        <v>207</v>
      </c>
      <c r="B351" s="51" t="s">
        <v>270</v>
      </c>
      <c r="D351" s="52" t="s">
        <v>214</v>
      </c>
      <c r="G351" s="55" t="s">
        <v>416</v>
      </c>
      <c r="I351" s="52" t="s">
        <v>220</v>
      </c>
      <c r="K351" s="60"/>
      <c r="L351" s="61"/>
    </row>
    <row r="352" spans="1:12" x14ac:dyDescent="0.25">
      <c r="A352" s="52" t="s">
        <v>208</v>
      </c>
      <c r="B352" s="110" t="s">
        <v>425</v>
      </c>
      <c r="D352" s="53" t="s">
        <v>215</v>
      </c>
      <c r="E352" s="16"/>
      <c r="F352" s="16"/>
      <c r="G352" s="56" t="s">
        <v>312</v>
      </c>
      <c r="I352" s="52" t="s">
        <v>221</v>
      </c>
      <c r="J352" s="7" t="s">
        <v>443</v>
      </c>
      <c r="K352" s="60"/>
      <c r="L352" s="61"/>
    </row>
    <row r="353" spans="1:12" x14ac:dyDescent="0.25">
      <c r="A353" s="63"/>
      <c r="B353" s="113"/>
      <c r="I353" s="52" t="s">
        <v>222</v>
      </c>
      <c r="J353" s="60"/>
      <c r="K353" s="60"/>
      <c r="L353" s="61"/>
    </row>
    <row r="354" spans="1:12" ht="26.25" x14ac:dyDescent="0.4">
      <c r="D354" s="143" t="s">
        <v>261</v>
      </c>
      <c r="E354" s="143"/>
      <c r="F354" s="143"/>
      <c r="G354" s="143"/>
      <c r="I354" s="53" t="s">
        <v>223</v>
      </c>
      <c r="J354" s="65"/>
      <c r="K354" s="65"/>
      <c r="L354" s="66"/>
    </row>
    <row r="355" spans="1:12" x14ac:dyDescent="0.25">
      <c r="D355" s="144" t="s">
        <v>241</v>
      </c>
      <c r="E355" s="144"/>
      <c r="F355" s="144"/>
      <c r="G355" s="57" t="s">
        <v>242</v>
      </c>
    </row>
    <row r="356" spans="1:12" x14ac:dyDescent="0.25">
      <c r="D356" s="140" t="s">
        <v>243</v>
      </c>
      <c r="E356" s="140"/>
      <c r="F356" s="140"/>
      <c r="G356" s="58" t="s">
        <v>259</v>
      </c>
    </row>
    <row r="357" spans="1:12" x14ac:dyDescent="0.25">
      <c r="D357" s="140" t="s">
        <v>244</v>
      </c>
      <c r="E357" s="140"/>
      <c r="F357" s="140"/>
      <c r="G357" s="58" t="s">
        <v>257</v>
      </c>
    </row>
    <row r="358" spans="1:12" x14ac:dyDescent="0.25">
      <c r="D358" s="140" t="s">
        <v>245</v>
      </c>
      <c r="E358" s="140"/>
      <c r="F358" s="140"/>
      <c r="G358" s="58" t="s">
        <v>257</v>
      </c>
    </row>
    <row r="359" spans="1:12" x14ac:dyDescent="0.25">
      <c r="D359" s="140" t="s">
        <v>246</v>
      </c>
      <c r="E359" s="140"/>
      <c r="F359" s="140"/>
      <c r="G359" s="58" t="s">
        <v>257</v>
      </c>
    </row>
    <row r="360" spans="1:12" x14ac:dyDescent="0.25">
      <c r="D360" s="140" t="s">
        <v>232</v>
      </c>
      <c r="E360" s="140"/>
      <c r="F360" s="140"/>
      <c r="G360" s="58" t="s">
        <v>258</v>
      </c>
      <c r="I360" s="47"/>
    </row>
    <row r="361" spans="1:12" x14ac:dyDescent="0.25">
      <c r="D361" s="140" t="s">
        <v>247</v>
      </c>
      <c r="E361" s="140"/>
      <c r="F361" s="140"/>
      <c r="G361" s="58" t="s">
        <v>258</v>
      </c>
    </row>
    <row r="362" spans="1:12" x14ac:dyDescent="0.25">
      <c r="D362" s="140" t="s">
        <v>248</v>
      </c>
      <c r="E362" s="140"/>
      <c r="F362" s="140"/>
      <c r="G362" s="58" t="s">
        <v>257</v>
      </c>
    </row>
    <row r="363" spans="1:12" x14ac:dyDescent="0.25">
      <c r="D363" s="140" t="s">
        <v>249</v>
      </c>
      <c r="E363" s="140"/>
      <c r="F363" s="140"/>
      <c r="G363" s="58" t="s">
        <v>257</v>
      </c>
    </row>
    <row r="365" spans="1:12" ht="28.5" x14ac:dyDescent="0.45">
      <c r="A365" s="48" t="s">
        <v>450</v>
      </c>
    </row>
    <row r="366" spans="1:12" ht="18" x14ac:dyDescent="0.25">
      <c r="A366" s="46" t="s">
        <v>203</v>
      </c>
      <c r="D366" s="46" t="s">
        <v>209</v>
      </c>
      <c r="I366" s="46" t="s">
        <v>216</v>
      </c>
    </row>
    <row r="367" spans="1:12" x14ac:dyDescent="0.25">
      <c r="A367" s="54" t="s">
        <v>204</v>
      </c>
      <c r="B367" s="44" t="s">
        <v>263</v>
      </c>
      <c r="D367" s="15" t="s">
        <v>210</v>
      </c>
      <c r="E367" s="49"/>
      <c r="F367" s="49"/>
      <c r="G367" s="50"/>
      <c r="I367" s="54" t="s">
        <v>417</v>
      </c>
      <c r="J367" s="49" t="s">
        <v>452</v>
      </c>
      <c r="K367" s="49"/>
      <c r="L367" s="50"/>
    </row>
    <row r="368" spans="1:12" x14ac:dyDescent="0.25">
      <c r="A368" s="52" t="s">
        <v>205</v>
      </c>
      <c r="B368" s="51" t="s">
        <v>279</v>
      </c>
      <c r="D368" s="52" t="s">
        <v>211</v>
      </c>
      <c r="G368" s="51" t="s">
        <v>75</v>
      </c>
      <c r="I368" s="52" t="s">
        <v>217</v>
      </c>
      <c r="J368" s="64"/>
      <c r="K368" s="64"/>
      <c r="L368" s="55"/>
    </row>
    <row r="369" spans="1:12" x14ac:dyDescent="0.25">
      <c r="A369" s="52" t="s">
        <v>427</v>
      </c>
      <c r="B369" s="51" t="s">
        <v>75</v>
      </c>
      <c r="D369" s="52" t="s">
        <v>212</v>
      </c>
      <c r="G369" s="51" t="s">
        <v>270</v>
      </c>
      <c r="I369" s="52" t="s">
        <v>218</v>
      </c>
      <c r="J369" s="64"/>
      <c r="K369" s="64"/>
      <c r="L369" s="55"/>
    </row>
    <row r="370" spans="1:12" x14ac:dyDescent="0.25">
      <c r="A370" s="52" t="s">
        <v>206</v>
      </c>
      <c r="B370" s="51" t="s">
        <v>251</v>
      </c>
      <c r="D370" s="52" t="s">
        <v>213</v>
      </c>
      <c r="G370" s="51" t="s">
        <v>75</v>
      </c>
      <c r="I370" s="52" t="s">
        <v>219</v>
      </c>
      <c r="J370" s="7" t="s">
        <v>453</v>
      </c>
      <c r="K370" s="60"/>
      <c r="L370" s="61"/>
    </row>
    <row r="371" spans="1:12" x14ac:dyDescent="0.25">
      <c r="A371" s="52" t="s">
        <v>207</v>
      </c>
      <c r="B371" s="51" t="s">
        <v>75</v>
      </c>
      <c r="D371" s="52" t="s">
        <v>214</v>
      </c>
      <c r="G371" s="55" t="s">
        <v>416</v>
      </c>
      <c r="I371" s="52" t="s">
        <v>220</v>
      </c>
      <c r="J371" s="7" t="s">
        <v>443</v>
      </c>
      <c r="K371" s="60"/>
      <c r="L371" s="61"/>
    </row>
    <row r="372" spans="1:12" x14ac:dyDescent="0.25">
      <c r="A372" s="52" t="s">
        <v>208</v>
      </c>
      <c r="B372" s="69" t="s">
        <v>451</v>
      </c>
      <c r="D372" s="53" t="s">
        <v>215</v>
      </c>
      <c r="E372" s="16"/>
      <c r="F372" s="16"/>
      <c r="G372" s="56" t="s">
        <v>312</v>
      </c>
      <c r="I372" s="52" t="s">
        <v>221</v>
      </c>
      <c r="J372" s="141" t="s">
        <v>454</v>
      </c>
      <c r="K372" s="141"/>
      <c r="L372" s="142"/>
    </row>
    <row r="373" spans="1:12" x14ac:dyDescent="0.25">
      <c r="A373" s="63"/>
      <c r="B373" s="56"/>
      <c r="I373" s="52" t="s">
        <v>222</v>
      </c>
      <c r="J373" s="141"/>
      <c r="K373" s="141"/>
      <c r="L373" s="142"/>
    </row>
    <row r="374" spans="1:12" ht="26.25" x14ac:dyDescent="0.4">
      <c r="D374" s="143" t="s">
        <v>261</v>
      </c>
      <c r="E374" s="143"/>
      <c r="F374" s="143"/>
      <c r="G374" s="143"/>
      <c r="I374" s="53" t="s">
        <v>223</v>
      </c>
      <c r="J374" s="16" t="s">
        <v>455</v>
      </c>
      <c r="K374" s="65"/>
      <c r="L374" s="66"/>
    </row>
    <row r="375" spans="1:12" x14ac:dyDescent="0.25">
      <c r="D375" s="144" t="s">
        <v>241</v>
      </c>
      <c r="E375" s="144"/>
      <c r="F375" s="144"/>
      <c r="G375" s="57" t="s">
        <v>242</v>
      </c>
    </row>
    <row r="376" spans="1:12" x14ac:dyDescent="0.25">
      <c r="D376" s="140" t="s">
        <v>243</v>
      </c>
      <c r="E376" s="140"/>
      <c r="F376" s="140"/>
      <c r="G376" s="58" t="s">
        <v>259</v>
      </c>
    </row>
    <row r="377" spans="1:12" x14ac:dyDescent="0.25">
      <c r="D377" s="140" t="s">
        <v>244</v>
      </c>
      <c r="E377" s="140"/>
      <c r="F377" s="140"/>
      <c r="G377" s="58" t="s">
        <v>259</v>
      </c>
    </row>
    <row r="378" spans="1:12" x14ac:dyDescent="0.25">
      <c r="D378" s="140" t="s">
        <v>245</v>
      </c>
      <c r="E378" s="140"/>
      <c r="F378" s="140"/>
      <c r="G378" s="58" t="s">
        <v>257</v>
      </c>
    </row>
    <row r="379" spans="1:12" x14ac:dyDescent="0.25">
      <c r="D379" s="140" t="s">
        <v>246</v>
      </c>
      <c r="E379" s="140"/>
      <c r="F379" s="140"/>
      <c r="G379" s="58" t="s">
        <v>259</v>
      </c>
    </row>
    <row r="380" spans="1:12" x14ac:dyDescent="0.25">
      <c r="D380" s="140" t="s">
        <v>232</v>
      </c>
      <c r="E380" s="140"/>
      <c r="F380" s="140"/>
      <c r="G380" s="58" t="s">
        <v>258</v>
      </c>
      <c r="I380" s="47"/>
    </row>
    <row r="381" spans="1:12" x14ac:dyDescent="0.25">
      <c r="D381" s="140" t="s">
        <v>247</v>
      </c>
      <c r="E381" s="140"/>
      <c r="F381" s="140"/>
      <c r="G381" s="58" t="s">
        <v>257</v>
      </c>
    </row>
    <row r="382" spans="1:12" x14ac:dyDescent="0.25">
      <c r="D382" s="140" t="s">
        <v>248</v>
      </c>
      <c r="E382" s="140"/>
      <c r="F382" s="140"/>
      <c r="G382" s="58" t="s">
        <v>257</v>
      </c>
    </row>
    <row r="383" spans="1:12" x14ac:dyDescent="0.25">
      <c r="D383" s="140" t="s">
        <v>249</v>
      </c>
      <c r="E383" s="140"/>
      <c r="F383" s="140"/>
      <c r="G383" s="58" t="s">
        <v>258</v>
      </c>
    </row>
  </sheetData>
  <mergeCells count="227">
    <mergeCell ref="D280:F280"/>
    <mergeCell ref="D281:F281"/>
    <mergeCell ref="D282:F282"/>
    <mergeCell ref="D283:F283"/>
    <mergeCell ref="D275:F275"/>
    <mergeCell ref="D276:F276"/>
    <mergeCell ref="D277:F277"/>
    <mergeCell ref="D278:F278"/>
    <mergeCell ref="D279:F279"/>
    <mergeCell ref="J268:L269"/>
    <mergeCell ref="A273:B273"/>
    <mergeCell ref="J273:L274"/>
    <mergeCell ref="D274:G274"/>
    <mergeCell ref="D261:F261"/>
    <mergeCell ref="D262:F262"/>
    <mergeCell ref="D263:F263"/>
    <mergeCell ref="J253:L254"/>
    <mergeCell ref="J250:L252"/>
    <mergeCell ref="D256:F256"/>
    <mergeCell ref="D257:F257"/>
    <mergeCell ref="D258:F258"/>
    <mergeCell ref="D259:F259"/>
    <mergeCell ref="D260:F260"/>
    <mergeCell ref="A253:B253"/>
    <mergeCell ref="D254:G254"/>
    <mergeCell ref="D255:F255"/>
    <mergeCell ref="J248:L249"/>
    <mergeCell ref="D241:F241"/>
    <mergeCell ref="D242:F242"/>
    <mergeCell ref="D243:F243"/>
    <mergeCell ref="J231:L232"/>
    <mergeCell ref="J228:L230"/>
    <mergeCell ref="D236:F236"/>
    <mergeCell ref="D237:F237"/>
    <mergeCell ref="D238:F238"/>
    <mergeCell ref="D239:F239"/>
    <mergeCell ref="D240:F240"/>
    <mergeCell ref="A233:B233"/>
    <mergeCell ref="D234:G234"/>
    <mergeCell ref="D235:F235"/>
    <mergeCell ref="D223:F223"/>
    <mergeCell ref="J208:L209"/>
    <mergeCell ref="J210:L211"/>
    <mergeCell ref="J214:L214"/>
    <mergeCell ref="D218:F218"/>
    <mergeCell ref="D219:F219"/>
    <mergeCell ref="D220:F220"/>
    <mergeCell ref="D221:F221"/>
    <mergeCell ref="D222:F222"/>
    <mergeCell ref="A213:B213"/>
    <mergeCell ref="D214:G214"/>
    <mergeCell ref="D215:F215"/>
    <mergeCell ref="D216:F216"/>
    <mergeCell ref="D217:F217"/>
    <mergeCell ref="D200:F200"/>
    <mergeCell ref="D201:F201"/>
    <mergeCell ref="D202:F202"/>
    <mergeCell ref="D203:F203"/>
    <mergeCell ref="D195:F195"/>
    <mergeCell ref="D196:F196"/>
    <mergeCell ref="D197:F197"/>
    <mergeCell ref="D198:F198"/>
    <mergeCell ref="D199:F199"/>
    <mergeCell ref="D182:F182"/>
    <mergeCell ref="D183:F183"/>
    <mergeCell ref="J191:L192"/>
    <mergeCell ref="A193:B193"/>
    <mergeCell ref="D194:G194"/>
    <mergeCell ref="D177:F177"/>
    <mergeCell ref="D178:F178"/>
    <mergeCell ref="D179:F179"/>
    <mergeCell ref="D180:F180"/>
    <mergeCell ref="D181:F181"/>
    <mergeCell ref="J171:L172"/>
    <mergeCell ref="A173:B173"/>
    <mergeCell ref="D174:G174"/>
    <mergeCell ref="D175:F175"/>
    <mergeCell ref="D176:F176"/>
    <mergeCell ref="D161:F161"/>
    <mergeCell ref="D162:F162"/>
    <mergeCell ref="D163:F163"/>
    <mergeCell ref="A153:B153"/>
    <mergeCell ref="D156:F156"/>
    <mergeCell ref="D157:F157"/>
    <mergeCell ref="D158:F158"/>
    <mergeCell ref="D159:F159"/>
    <mergeCell ref="D160:F160"/>
    <mergeCell ref="J169:L170"/>
    <mergeCell ref="D141:F141"/>
    <mergeCell ref="D142:F142"/>
    <mergeCell ref="D143:F143"/>
    <mergeCell ref="D154:G154"/>
    <mergeCell ref="D155:F155"/>
    <mergeCell ref="D136:F136"/>
    <mergeCell ref="D137:F137"/>
    <mergeCell ref="D138:F138"/>
    <mergeCell ref="D139:F139"/>
    <mergeCell ref="D140:F140"/>
    <mergeCell ref="G150:G151"/>
    <mergeCell ref="D122:F122"/>
    <mergeCell ref="D123:F123"/>
    <mergeCell ref="D134:G134"/>
    <mergeCell ref="D135:F135"/>
    <mergeCell ref="D117:F117"/>
    <mergeCell ref="D118:F118"/>
    <mergeCell ref="D119:F119"/>
    <mergeCell ref="D120:F120"/>
    <mergeCell ref="D121:F121"/>
    <mergeCell ref="D103:F103"/>
    <mergeCell ref="A113:B113"/>
    <mergeCell ref="D114:G114"/>
    <mergeCell ref="D115:F115"/>
    <mergeCell ref="D116:F116"/>
    <mergeCell ref="D98:F98"/>
    <mergeCell ref="D99:F99"/>
    <mergeCell ref="D100:F100"/>
    <mergeCell ref="D101:F101"/>
    <mergeCell ref="D102:F102"/>
    <mergeCell ref="A93:B93"/>
    <mergeCell ref="D94:G94"/>
    <mergeCell ref="D95:F95"/>
    <mergeCell ref="D96:F96"/>
    <mergeCell ref="D97:F97"/>
    <mergeCell ref="D79:F79"/>
    <mergeCell ref="D80:F80"/>
    <mergeCell ref="D81:F81"/>
    <mergeCell ref="D82:F82"/>
    <mergeCell ref="D83:F83"/>
    <mergeCell ref="D74:G74"/>
    <mergeCell ref="D75:F75"/>
    <mergeCell ref="D76:F76"/>
    <mergeCell ref="D77:F77"/>
    <mergeCell ref="D78:F78"/>
    <mergeCell ref="D18:F18"/>
    <mergeCell ref="D14:G14"/>
    <mergeCell ref="A73:B73"/>
    <mergeCell ref="A1:L4"/>
    <mergeCell ref="A13:B13"/>
    <mergeCell ref="D15:F15"/>
    <mergeCell ref="D16:F16"/>
    <mergeCell ref="D17:F17"/>
    <mergeCell ref="D19:F19"/>
    <mergeCell ref="D20:F20"/>
    <mergeCell ref="D21:F21"/>
    <mergeCell ref="D22:F22"/>
    <mergeCell ref="D23:F23"/>
    <mergeCell ref="A33:B33"/>
    <mergeCell ref="D34:G34"/>
    <mergeCell ref="D35:F35"/>
    <mergeCell ref="D36:F36"/>
    <mergeCell ref="D37:F37"/>
    <mergeCell ref="D38:F38"/>
    <mergeCell ref="D39:F39"/>
    <mergeCell ref="D40:F40"/>
    <mergeCell ref="D41:F41"/>
    <mergeCell ref="D42:F42"/>
    <mergeCell ref="D43:F43"/>
    <mergeCell ref="A53:B53"/>
    <mergeCell ref="D54:G54"/>
    <mergeCell ref="D55:F55"/>
    <mergeCell ref="D56:F56"/>
    <mergeCell ref="D62:F62"/>
    <mergeCell ref="D63:F63"/>
    <mergeCell ref="J52:L53"/>
    <mergeCell ref="J50:L51"/>
    <mergeCell ref="D57:F57"/>
    <mergeCell ref="D58:F58"/>
    <mergeCell ref="D59:F59"/>
    <mergeCell ref="D60:F60"/>
    <mergeCell ref="D61:F61"/>
    <mergeCell ref="D300:F300"/>
    <mergeCell ref="D301:F301"/>
    <mergeCell ref="D302:F302"/>
    <mergeCell ref="D303:F303"/>
    <mergeCell ref="B292:B293"/>
    <mergeCell ref="B312:B313"/>
    <mergeCell ref="D314:G314"/>
    <mergeCell ref="D315:F315"/>
    <mergeCell ref="D316:F316"/>
    <mergeCell ref="D294:G294"/>
    <mergeCell ref="D295:F295"/>
    <mergeCell ref="D296:F296"/>
    <mergeCell ref="D297:F297"/>
    <mergeCell ref="D298:F298"/>
    <mergeCell ref="D299:F299"/>
    <mergeCell ref="D317:F317"/>
    <mergeCell ref="D318:F318"/>
    <mergeCell ref="D319:F319"/>
    <mergeCell ref="D320:F320"/>
    <mergeCell ref="D321:F321"/>
    <mergeCell ref="D322:F322"/>
    <mergeCell ref="D323:F323"/>
    <mergeCell ref="B332:B333"/>
    <mergeCell ref="D334:G334"/>
    <mergeCell ref="B352:B353"/>
    <mergeCell ref="D354:G354"/>
    <mergeCell ref="D355:F355"/>
    <mergeCell ref="D356:F356"/>
    <mergeCell ref="D357:F357"/>
    <mergeCell ref="D358:F358"/>
    <mergeCell ref="D359:F359"/>
    <mergeCell ref="D360:F360"/>
    <mergeCell ref="D361:F361"/>
    <mergeCell ref="D381:F381"/>
    <mergeCell ref="D382:F382"/>
    <mergeCell ref="D383:F383"/>
    <mergeCell ref="J372:L373"/>
    <mergeCell ref="J31:L33"/>
    <mergeCell ref="G9:G10"/>
    <mergeCell ref="D374:G374"/>
    <mergeCell ref="D375:F375"/>
    <mergeCell ref="D376:F376"/>
    <mergeCell ref="D377:F377"/>
    <mergeCell ref="D378:F378"/>
    <mergeCell ref="D379:F379"/>
    <mergeCell ref="D380:F380"/>
    <mergeCell ref="D362:F362"/>
    <mergeCell ref="D363:F363"/>
    <mergeCell ref="D335:F335"/>
    <mergeCell ref="D336:F336"/>
    <mergeCell ref="D337:F337"/>
    <mergeCell ref="D338:F338"/>
    <mergeCell ref="D339:F339"/>
    <mergeCell ref="D340:F340"/>
    <mergeCell ref="D341:F341"/>
    <mergeCell ref="D342:F342"/>
    <mergeCell ref="D343:F343"/>
  </mergeCells>
  <conditionalFormatting sqref="A1">
    <cfRule type="containsText" dxfId="0" priority="1" operator="containsText" text="match">
      <formula>NOT(ISERROR(SEARCH("match",A1)))</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97F2-BD6F-4ACD-92C7-16CB3079FEED}">
  <sheetPr codeName="Sheet5"/>
  <dimension ref="A1:F70"/>
  <sheetViews>
    <sheetView topLeftCell="A38" workbookViewId="0">
      <selection activeCell="C67" sqref="C67"/>
    </sheetView>
  </sheetViews>
  <sheetFormatPr defaultRowHeight="14.25" x14ac:dyDescent="0.2"/>
  <cols>
    <col min="1" max="1" width="21.375" bestFit="1" customWidth="1"/>
    <col min="2" max="2" width="40.5" bestFit="1" customWidth="1"/>
    <col min="3" max="3" width="104" bestFit="1" customWidth="1"/>
    <col min="4" max="4" width="21.75" bestFit="1" customWidth="1"/>
    <col min="5" max="5" width="15.375" bestFit="1" customWidth="1"/>
    <col min="6" max="6" width="10.375" bestFit="1" customWidth="1"/>
  </cols>
  <sheetData>
    <row r="1" spans="1:6" ht="15.75" thickBot="1" x14ac:dyDescent="0.25">
      <c r="A1" s="84" t="s">
        <v>168</v>
      </c>
      <c r="B1" s="84" t="s">
        <v>67</v>
      </c>
      <c r="C1" s="84" t="s">
        <v>68</v>
      </c>
      <c r="D1" s="84" t="s">
        <v>69</v>
      </c>
      <c r="E1" s="84" t="s">
        <v>70</v>
      </c>
      <c r="F1" s="84" t="s">
        <v>71</v>
      </c>
    </row>
    <row r="2" spans="1:6" ht="15.75" thickBot="1" x14ac:dyDescent="0.25">
      <c r="A2" s="85" t="s">
        <v>513</v>
      </c>
      <c r="B2" s="85" t="s">
        <v>42</v>
      </c>
      <c r="C2" s="85" t="s">
        <v>72</v>
      </c>
      <c r="D2" s="85" t="s">
        <v>73</v>
      </c>
      <c r="E2" s="85" t="s">
        <v>74</v>
      </c>
      <c r="F2" s="85" t="s">
        <v>75</v>
      </c>
    </row>
    <row r="3" spans="1:6" ht="15.75" thickBot="1" x14ac:dyDescent="0.25">
      <c r="A3" s="85" t="s">
        <v>513</v>
      </c>
      <c r="B3" s="85" t="s">
        <v>0</v>
      </c>
      <c r="C3" s="85" t="s">
        <v>76</v>
      </c>
      <c r="D3" s="85" t="s">
        <v>73</v>
      </c>
      <c r="E3" s="85" t="s">
        <v>77</v>
      </c>
      <c r="F3" s="85" t="s">
        <v>75</v>
      </c>
    </row>
    <row r="4" spans="1:6" ht="15.75" thickBot="1" x14ac:dyDescent="0.25">
      <c r="A4" s="85" t="s">
        <v>513</v>
      </c>
      <c r="B4" s="85" t="s">
        <v>1</v>
      </c>
      <c r="C4" s="85" t="s">
        <v>78</v>
      </c>
      <c r="D4" s="85" t="s">
        <v>73</v>
      </c>
      <c r="E4" s="85" t="s">
        <v>74</v>
      </c>
      <c r="F4" s="85" t="s">
        <v>75</v>
      </c>
    </row>
    <row r="5" spans="1:6" ht="15.75" thickBot="1" x14ac:dyDescent="0.25">
      <c r="A5" s="85" t="s">
        <v>513</v>
      </c>
      <c r="B5" s="85" t="s">
        <v>79</v>
      </c>
      <c r="C5" s="85" t="s">
        <v>80</v>
      </c>
      <c r="D5" s="85" t="s">
        <v>73</v>
      </c>
      <c r="E5" s="85" t="s">
        <v>74</v>
      </c>
      <c r="F5" s="85" t="s">
        <v>81</v>
      </c>
    </row>
    <row r="6" spans="1:6" ht="15.75" thickBot="1" x14ac:dyDescent="0.25">
      <c r="A6" s="85" t="s">
        <v>513</v>
      </c>
      <c r="B6" s="85" t="s">
        <v>82</v>
      </c>
      <c r="C6" s="85" t="s">
        <v>514</v>
      </c>
      <c r="D6" s="85" t="s">
        <v>73</v>
      </c>
      <c r="E6" s="85" t="s">
        <v>74</v>
      </c>
      <c r="F6" s="85" t="s">
        <v>81</v>
      </c>
    </row>
    <row r="7" spans="1:6" ht="15.75" thickBot="1" x14ac:dyDescent="0.25">
      <c r="A7" s="85" t="s">
        <v>513</v>
      </c>
      <c r="B7" s="85" t="s">
        <v>83</v>
      </c>
      <c r="C7" s="85" t="s">
        <v>84</v>
      </c>
      <c r="D7" s="85" t="s">
        <v>73</v>
      </c>
      <c r="E7" s="85" t="s">
        <v>74</v>
      </c>
      <c r="F7" s="85" t="s">
        <v>75</v>
      </c>
    </row>
    <row r="8" spans="1:6" ht="15.75" thickBot="1" x14ac:dyDescent="0.25">
      <c r="A8" s="85" t="s">
        <v>513</v>
      </c>
      <c r="B8" s="85" t="s">
        <v>85</v>
      </c>
      <c r="C8" s="85" t="s">
        <v>86</v>
      </c>
      <c r="D8" s="85" t="s">
        <v>73</v>
      </c>
      <c r="E8" s="85" t="s">
        <v>87</v>
      </c>
      <c r="F8" s="85" t="s">
        <v>75</v>
      </c>
    </row>
    <row r="9" spans="1:6" ht="15.75" thickBot="1" x14ac:dyDescent="0.25">
      <c r="A9" s="85" t="s">
        <v>513</v>
      </c>
      <c r="B9" s="85" t="s">
        <v>88</v>
      </c>
      <c r="C9" s="85" t="s">
        <v>515</v>
      </c>
      <c r="D9" s="85" t="s">
        <v>73</v>
      </c>
      <c r="E9" s="85" t="s">
        <v>87</v>
      </c>
      <c r="F9" s="85" t="s">
        <v>75</v>
      </c>
    </row>
    <row r="10" spans="1:6" ht="15.75" thickBot="1" x14ac:dyDescent="0.25">
      <c r="A10" s="85" t="s">
        <v>513</v>
      </c>
      <c r="B10" s="85" t="s">
        <v>89</v>
      </c>
      <c r="C10" s="85" t="s">
        <v>90</v>
      </c>
      <c r="D10" s="85" t="s">
        <v>73</v>
      </c>
      <c r="E10" s="85" t="s">
        <v>91</v>
      </c>
      <c r="F10" s="85" t="s">
        <v>75</v>
      </c>
    </row>
    <row r="11" spans="1:6" ht="15.75" thickBot="1" x14ac:dyDescent="0.25">
      <c r="A11" s="85" t="s">
        <v>513</v>
      </c>
      <c r="B11" s="85" t="s">
        <v>4</v>
      </c>
      <c r="C11" s="85" t="s">
        <v>92</v>
      </c>
      <c r="D11" s="85" t="s">
        <v>73</v>
      </c>
      <c r="E11" s="85" t="s">
        <v>77</v>
      </c>
      <c r="F11" s="85" t="s">
        <v>75</v>
      </c>
    </row>
    <row r="12" spans="1:6" ht="15.75" thickBot="1" x14ac:dyDescent="0.25">
      <c r="A12" s="85" t="s">
        <v>513</v>
      </c>
      <c r="B12" s="85" t="s">
        <v>5</v>
      </c>
      <c r="C12" s="85" t="s">
        <v>92</v>
      </c>
      <c r="D12" s="85" t="s">
        <v>73</v>
      </c>
      <c r="E12" s="85" t="s">
        <v>77</v>
      </c>
      <c r="F12" s="85" t="s">
        <v>75</v>
      </c>
    </row>
    <row r="13" spans="1:6" ht="15.75" thickBot="1" x14ac:dyDescent="0.25">
      <c r="A13" s="85" t="s">
        <v>513</v>
      </c>
      <c r="B13" s="85" t="s">
        <v>6</v>
      </c>
      <c r="C13" s="85" t="s">
        <v>92</v>
      </c>
      <c r="D13" s="85" t="s">
        <v>73</v>
      </c>
      <c r="E13" s="85" t="s">
        <v>77</v>
      </c>
      <c r="F13" s="85" t="s">
        <v>75</v>
      </c>
    </row>
    <row r="14" spans="1:6" ht="15.75" thickBot="1" x14ac:dyDescent="0.25">
      <c r="A14" s="85" t="s">
        <v>513</v>
      </c>
      <c r="B14" s="85" t="s">
        <v>7</v>
      </c>
      <c r="C14" s="85" t="s">
        <v>92</v>
      </c>
      <c r="D14" s="85" t="s">
        <v>73</v>
      </c>
      <c r="E14" s="85" t="s">
        <v>77</v>
      </c>
      <c r="F14" s="85" t="s">
        <v>75</v>
      </c>
    </row>
    <row r="15" spans="1:6" ht="15.75" thickBot="1" x14ac:dyDescent="0.25">
      <c r="A15" s="85" t="s">
        <v>513</v>
      </c>
      <c r="B15" s="85" t="s">
        <v>93</v>
      </c>
      <c r="C15" s="85" t="s">
        <v>92</v>
      </c>
      <c r="D15" s="85" t="s">
        <v>73</v>
      </c>
      <c r="E15" s="85" t="s">
        <v>77</v>
      </c>
      <c r="F15" s="85" t="s">
        <v>75</v>
      </c>
    </row>
    <row r="16" spans="1:6" ht="15.75" thickBot="1" x14ac:dyDescent="0.25">
      <c r="A16" s="85" t="s">
        <v>513</v>
      </c>
      <c r="B16" s="85" t="s">
        <v>94</v>
      </c>
      <c r="C16" s="85" t="s">
        <v>92</v>
      </c>
      <c r="D16" s="85" t="s">
        <v>73</v>
      </c>
      <c r="E16" s="85" t="s">
        <v>77</v>
      </c>
      <c r="F16" s="85" t="s">
        <v>75</v>
      </c>
    </row>
    <row r="17" spans="1:6" ht="15.75" thickBot="1" x14ac:dyDescent="0.25">
      <c r="A17" s="85" t="s">
        <v>513</v>
      </c>
      <c r="B17" s="85" t="s">
        <v>9</v>
      </c>
      <c r="C17" s="85" t="s">
        <v>92</v>
      </c>
      <c r="D17" s="85" t="s">
        <v>73</v>
      </c>
      <c r="E17" s="85" t="s">
        <v>77</v>
      </c>
      <c r="F17" s="85" t="s">
        <v>75</v>
      </c>
    </row>
    <row r="18" spans="1:6" ht="15.75" thickBot="1" x14ac:dyDescent="0.25">
      <c r="A18" s="85" t="s">
        <v>513</v>
      </c>
      <c r="B18" s="85" t="s">
        <v>95</v>
      </c>
      <c r="C18" s="85" t="s">
        <v>92</v>
      </c>
      <c r="D18" s="85" t="s">
        <v>73</v>
      </c>
      <c r="E18" s="85" t="s">
        <v>77</v>
      </c>
      <c r="F18" s="85" t="s">
        <v>75</v>
      </c>
    </row>
    <row r="19" spans="1:6" ht="15.75" thickBot="1" x14ac:dyDescent="0.25">
      <c r="A19" s="85" t="s">
        <v>513</v>
      </c>
      <c r="B19" s="85" t="s">
        <v>8</v>
      </c>
      <c r="C19" s="85" t="s">
        <v>92</v>
      </c>
      <c r="D19" s="85" t="s">
        <v>73</v>
      </c>
      <c r="E19" s="85" t="s">
        <v>77</v>
      </c>
      <c r="F19" s="85" t="s">
        <v>75</v>
      </c>
    </row>
    <row r="20" spans="1:6" ht="15.75" thickBot="1" x14ac:dyDescent="0.25">
      <c r="A20" s="85" t="s">
        <v>513</v>
      </c>
      <c r="B20" s="85" t="s">
        <v>96</v>
      </c>
      <c r="C20" s="85" t="s">
        <v>92</v>
      </c>
      <c r="D20" s="85" t="s">
        <v>73</v>
      </c>
      <c r="E20" s="85" t="s">
        <v>77</v>
      </c>
      <c r="F20" s="85" t="s">
        <v>75</v>
      </c>
    </row>
    <row r="21" spans="1:6" ht="15.75" thickBot="1" x14ac:dyDescent="0.25">
      <c r="A21" s="85" t="s">
        <v>513</v>
      </c>
      <c r="B21" s="85" t="s">
        <v>97</v>
      </c>
      <c r="C21" s="85" t="s">
        <v>92</v>
      </c>
      <c r="D21" s="85" t="s">
        <v>73</v>
      </c>
      <c r="E21" s="85" t="s">
        <v>77</v>
      </c>
      <c r="F21" s="85" t="s">
        <v>75</v>
      </c>
    </row>
    <row r="22" spans="1:6" ht="15.75" thickBot="1" x14ac:dyDescent="0.25">
      <c r="A22" s="85" t="s">
        <v>513</v>
      </c>
      <c r="B22" s="85" t="s">
        <v>10</v>
      </c>
      <c r="C22" s="85" t="s">
        <v>92</v>
      </c>
      <c r="D22" s="85" t="s">
        <v>73</v>
      </c>
      <c r="E22" s="85" t="s">
        <v>77</v>
      </c>
      <c r="F22" s="85" t="s">
        <v>75</v>
      </c>
    </row>
    <row r="23" spans="1:6" ht="15.75" thickBot="1" x14ac:dyDescent="0.25">
      <c r="A23" s="85" t="s">
        <v>513</v>
      </c>
      <c r="B23" s="85" t="s">
        <v>98</v>
      </c>
      <c r="C23" s="85" t="s">
        <v>92</v>
      </c>
      <c r="D23" s="85" t="s">
        <v>73</v>
      </c>
      <c r="E23" s="85" t="s">
        <v>77</v>
      </c>
      <c r="F23" s="85" t="s">
        <v>75</v>
      </c>
    </row>
    <row r="24" spans="1:6" ht="15.75" thickBot="1" x14ac:dyDescent="0.25">
      <c r="A24" s="85" t="s">
        <v>513</v>
      </c>
      <c r="B24" s="85" t="s">
        <v>99</v>
      </c>
      <c r="C24" s="85" t="s">
        <v>92</v>
      </c>
      <c r="D24" s="85" t="s">
        <v>73</v>
      </c>
      <c r="E24" s="85" t="s">
        <v>77</v>
      </c>
      <c r="F24" s="85" t="s">
        <v>75</v>
      </c>
    </row>
    <row r="25" spans="1:6" ht="15.75" thickBot="1" x14ac:dyDescent="0.25">
      <c r="A25" s="85" t="s">
        <v>513</v>
      </c>
      <c r="B25" s="85" t="s">
        <v>100</v>
      </c>
      <c r="C25" s="85" t="s">
        <v>92</v>
      </c>
      <c r="D25" s="85" t="s">
        <v>73</v>
      </c>
      <c r="E25" s="85" t="s">
        <v>77</v>
      </c>
      <c r="F25" s="85" t="s">
        <v>75</v>
      </c>
    </row>
    <row r="26" spans="1:6" ht="15.75" thickBot="1" x14ac:dyDescent="0.25">
      <c r="A26" s="85" t="s">
        <v>513</v>
      </c>
      <c r="B26" s="85" t="s">
        <v>101</v>
      </c>
      <c r="C26" s="85" t="s">
        <v>92</v>
      </c>
      <c r="D26" s="85" t="s">
        <v>73</v>
      </c>
      <c r="E26" s="85" t="s">
        <v>77</v>
      </c>
      <c r="F26" s="85" t="s">
        <v>75</v>
      </c>
    </row>
    <row r="27" spans="1:6" ht="15.75" thickBot="1" x14ac:dyDescent="0.25">
      <c r="A27" s="85" t="s">
        <v>513</v>
      </c>
      <c r="B27" s="85" t="s">
        <v>102</v>
      </c>
      <c r="C27" s="85" t="s">
        <v>92</v>
      </c>
      <c r="D27" s="85" t="s">
        <v>73</v>
      </c>
      <c r="E27" s="85" t="s">
        <v>77</v>
      </c>
      <c r="F27" s="85" t="s">
        <v>75</v>
      </c>
    </row>
    <row r="28" spans="1:6" ht="15.75" thickBot="1" x14ac:dyDescent="0.25">
      <c r="A28" s="85" t="s">
        <v>513</v>
      </c>
      <c r="B28" s="85" t="s">
        <v>103</v>
      </c>
      <c r="C28" s="85" t="s">
        <v>104</v>
      </c>
      <c r="D28" s="85" t="s">
        <v>105</v>
      </c>
      <c r="E28" s="85" t="s">
        <v>74</v>
      </c>
      <c r="F28" s="85" t="s">
        <v>81</v>
      </c>
    </row>
    <row r="29" spans="1:6" ht="15.75" thickBot="1" x14ac:dyDescent="0.25">
      <c r="A29" s="85" t="s">
        <v>199</v>
      </c>
      <c r="B29" s="85" t="s">
        <v>516</v>
      </c>
      <c r="C29" s="85" t="s">
        <v>517</v>
      </c>
      <c r="D29" s="85" t="s">
        <v>105</v>
      </c>
      <c r="E29" s="85" t="s">
        <v>74</v>
      </c>
      <c r="F29" s="85" t="s">
        <v>75</v>
      </c>
    </row>
    <row r="30" spans="1:6" ht="15.75" thickBot="1" x14ac:dyDescent="0.25">
      <c r="A30" s="85" t="s">
        <v>199</v>
      </c>
      <c r="B30" s="85" t="s">
        <v>299</v>
      </c>
      <c r="C30" s="85" t="s">
        <v>518</v>
      </c>
      <c r="D30" s="85" t="s">
        <v>105</v>
      </c>
      <c r="E30" s="85" t="s">
        <v>519</v>
      </c>
      <c r="F30" s="85" t="s">
        <v>75</v>
      </c>
    </row>
    <row r="31" spans="1:6" ht="15.75" thickBot="1" x14ac:dyDescent="0.25">
      <c r="A31" s="85" t="s">
        <v>199</v>
      </c>
      <c r="B31" s="85" t="s">
        <v>398</v>
      </c>
      <c r="C31" s="85" t="s">
        <v>520</v>
      </c>
      <c r="D31" s="85" t="s">
        <v>105</v>
      </c>
      <c r="E31" s="85" t="s">
        <v>519</v>
      </c>
      <c r="F31" s="85" t="s">
        <v>81</v>
      </c>
    </row>
    <row r="32" spans="1:6" ht="15.75" thickBot="1" x14ac:dyDescent="0.25">
      <c r="A32" s="85" t="s">
        <v>199</v>
      </c>
      <c r="B32" s="85" t="s">
        <v>162</v>
      </c>
      <c r="C32" s="85" t="s">
        <v>521</v>
      </c>
      <c r="D32" s="85" t="s">
        <v>105</v>
      </c>
      <c r="E32" s="85" t="s">
        <v>522</v>
      </c>
      <c r="F32" s="85" t="s">
        <v>75</v>
      </c>
    </row>
    <row r="33" spans="1:6" ht="15.75" thickBot="1" x14ac:dyDescent="0.25">
      <c r="A33" s="85" t="s">
        <v>199</v>
      </c>
      <c r="B33" s="85" t="s">
        <v>186</v>
      </c>
      <c r="C33" s="85" t="s">
        <v>523</v>
      </c>
      <c r="D33" s="85" t="s">
        <v>105</v>
      </c>
      <c r="E33" s="85" t="s">
        <v>522</v>
      </c>
      <c r="F33" s="85" t="s">
        <v>75</v>
      </c>
    </row>
    <row r="34" spans="1:6" ht="15.75" thickBot="1" x14ac:dyDescent="0.25">
      <c r="A34" s="85" t="s">
        <v>199</v>
      </c>
      <c r="B34" s="85" t="s">
        <v>190</v>
      </c>
      <c r="C34" s="85" t="s">
        <v>524</v>
      </c>
      <c r="D34" s="85" t="s">
        <v>105</v>
      </c>
      <c r="E34" s="85" t="s">
        <v>522</v>
      </c>
      <c r="F34" s="85" t="s">
        <v>75</v>
      </c>
    </row>
    <row r="35" spans="1:6" ht="15.75" thickBot="1" x14ac:dyDescent="0.25">
      <c r="A35" s="85" t="s">
        <v>199</v>
      </c>
      <c r="B35" s="85" t="s">
        <v>525</v>
      </c>
      <c r="C35" s="85" t="s">
        <v>526</v>
      </c>
      <c r="D35" s="85" t="s">
        <v>105</v>
      </c>
      <c r="E35" s="85" t="s">
        <v>74</v>
      </c>
      <c r="F35" s="85" t="s">
        <v>81</v>
      </c>
    </row>
    <row r="36" spans="1:6" ht="15.75" thickBot="1" x14ac:dyDescent="0.25">
      <c r="A36" s="85" t="s">
        <v>199</v>
      </c>
      <c r="B36" s="85" t="s">
        <v>192</v>
      </c>
      <c r="C36" s="85" t="s">
        <v>527</v>
      </c>
      <c r="D36" s="85" t="s">
        <v>105</v>
      </c>
      <c r="E36" s="85" t="s">
        <v>528</v>
      </c>
      <c r="F36" s="85" t="s">
        <v>75</v>
      </c>
    </row>
    <row r="37" spans="1:6" ht="15.75" thickBot="1" x14ac:dyDescent="0.25">
      <c r="A37" s="85" t="s">
        <v>199</v>
      </c>
      <c r="B37" s="85" t="s">
        <v>529</v>
      </c>
      <c r="C37" s="85" t="s">
        <v>530</v>
      </c>
      <c r="D37" s="85" t="s">
        <v>105</v>
      </c>
      <c r="E37" s="85" t="s">
        <v>531</v>
      </c>
      <c r="F37" s="85" t="s">
        <v>75</v>
      </c>
    </row>
    <row r="38" spans="1:6" ht="15.75" thickBot="1" x14ac:dyDescent="0.25">
      <c r="A38" s="85" t="s">
        <v>532</v>
      </c>
      <c r="B38" s="85" t="s">
        <v>533</v>
      </c>
      <c r="C38" s="85" t="s">
        <v>534</v>
      </c>
      <c r="D38" s="85" t="s">
        <v>105</v>
      </c>
      <c r="E38" s="85" t="s">
        <v>522</v>
      </c>
      <c r="F38" s="85" t="s">
        <v>75</v>
      </c>
    </row>
    <row r="39" spans="1:6" ht="15.75" thickBot="1" x14ac:dyDescent="0.25">
      <c r="A39" s="85" t="s">
        <v>532</v>
      </c>
      <c r="B39" s="85" t="s">
        <v>161</v>
      </c>
      <c r="C39" s="85" t="s">
        <v>535</v>
      </c>
      <c r="D39" s="85" t="s">
        <v>105</v>
      </c>
      <c r="E39" s="85" t="s">
        <v>536</v>
      </c>
      <c r="F39" s="85" t="s">
        <v>75</v>
      </c>
    </row>
    <row r="40" spans="1:6" ht="15.75" thickBot="1" x14ac:dyDescent="0.25">
      <c r="A40" s="85" t="s">
        <v>532</v>
      </c>
      <c r="B40" s="85" t="s">
        <v>170</v>
      </c>
      <c r="C40" s="85" t="s">
        <v>537</v>
      </c>
      <c r="D40" s="85" t="s">
        <v>538</v>
      </c>
      <c r="E40" s="85" t="s">
        <v>87</v>
      </c>
      <c r="F40" s="85" t="s">
        <v>75</v>
      </c>
    </row>
    <row r="41" spans="1:6" ht="15.75" thickBot="1" x14ac:dyDescent="0.25">
      <c r="A41" s="85" t="s">
        <v>532</v>
      </c>
      <c r="B41" s="85" t="s">
        <v>539</v>
      </c>
      <c r="C41" s="85" t="s">
        <v>540</v>
      </c>
      <c r="D41" s="85" t="s">
        <v>105</v>
      </c>
      <c r="E41" s="85" t="s">
        <v>522</v>
      </c>
      <c r="F41" s="85" t="s">
        <v>75</v>
      </c>
    </row>
    <row r="42" spans="1:6" ht="15.75" thickBot="1" x14ac:dyDescent="0.25">
      <c r="A42" s="85" t="s">
        <v>532</v>
      </c>
      <c r="B42" s="85" t="s">
        <v>541</v>
      </c>
      <c r="C42" s="85" t="s">
        <v>542</v>
      </c>
      <c r="D42" s="85" t="s">
        <v>105</v>
      </c>
      <c r="E42" s="85" t="s">
        <v>522</v>
      </c>
      <c r="F42" s="85" t="s">
        <v>75</v>
      </c>
    </row>
    <row r="43" spans="1:6" ht="15.75" thickBot="1" x14ac:dyDescent="0.25">
      <c r="A43" s="85" t="s">
        <v>532</v>
      </c>
      <c r="B43" s="85" t="s">
        <v>543</v>
      </c>
      <c r="C43" s="85" t="s">
        <v>544</v>
      </c>
      <c r="D43" s="85" t="s">
        <v>105</v>
      </c>
      <c r="E43" s="85" t="s">
        <v>522</v>
      </c>
      <c r="F43" s="85" t="s">
        <v>75</v>
      </c>
    </row>
    <row r="44" spans="1:6" ht="15.75" thickBot="1" x14ac:dyDescent="0.25">
      <c r="A44" s="85" t="s">
        <v>532</v>
      </c>
      <c r="B44" s="85" t="s">
        <v>545</v>
      </c>
      <c r="C44" s="85" t="s">
        <v>546</v>
      </c>
      <c r="D44" s="85" t="s">
        <v>105</v>
      </c>
      <c r="E44" s="85" t="s">
        <v>74</v>
      </c>
      <c r="F44" s="85" t="s">
        <v>75</v>
      </c>
    </row>
    <row r="45" spans="1:6" ht="15.75" thickBot="1" x14ac:dyDescent="0.25">
      <c r="A45" s="85" t="s">
        <v>532</v>
      </c>
      <c r="B45" s="85" t="s">
        <v>547</v>
      </c>
      <c r="C45" s="85" t="s">
        <v>548</v>
      </c>
      <c r="D45" s="85" t="s">
        <v>105</v>
      </c>
      <c r="E45" s="85" t="s">
        <v>74</v>
      </c>
      <c r="F45" s="85" t="s">
        <v>81</v>
      </c>
    </row>
    <row r="46" spans="1:6" ht="15.75" thickBot="1" x14ac:dyDescent="0.25">
      <c r="A46" s="85" t="s">
        <v>549</v>
      </c>
      <c r="B46" s="85" t="s">
        <v>23</v>
      </c>
      <c r="C46" s="85" t="s">
        <v>550</v>
      </c>
      <c r="D46" s="85" t="s">
        <v>73</v>
      </c>
      <c r="E46" s="85" t="s">
        <v>87</v>
      </c>
      <c r="F46" s="85" t="s">
        <v>75</v>
      </c>
    </row>
    <row r="47" spans="1:6" ht="15.75" thickBot="1" x14ac:dyDescent="0.25">
      <c r="A47" s="85" t="s">
        <v>549</v>
      </c>
      <c r="B47" s="85" t="s">
        <v>14</v>
      </c>
      <c r="C47" s="85" t="s">
        <v>551</v>
      </c>
      <c r="D47" s="85" t="s">
        <v>73</v>
      </c>
      <c r="E47" s="85" t="s">
        <v>552</v>
      </c>
      <c r="F47" s="85" t="s">
        <v>75</v>
      </c>
    </row>
    <row r="48" spans="1:6" ht="15.75" thickBot="1" x14ac:dyDescent="0.25">
      <c r="A48" s="85" t="s">
        <v>549</v>
      </c>
      <c r="B48" s="85" t="s">
        <v>15</v>
      </c>
      <c r="C48" s="85" t="s">
        <v>553</v>
      </c>
      <c r="D48" s="85" t="s">
        <v>73</v>
      </c>
      <c r="E48" s="85" t="s">
        <v>552</v>
      </c>
      <c r="F48" s="85" t="s">
        <v>75</v>
      </c>
    </row>
    <row r="49" spans="1:6" ht="15.75" thickBot="1" x14ac:dyDescent="0.25">
      <c r="A49" s="85" t="s">
        <v>549</v>
      </c>
      <c r="B49" s="85" t="s">
        <v>554</v>
      </c>
      <c r="C49" s="85" t="s">
        <v>555</v>
      </c>
      <c r="D49" s="85" t="s">
        <v>105</v>
      </c>
      <c r="E49" s="85" t="s">
        <v>552</v>
      </c>
      <c r="F49" s="85" t="s">
        <v>75</v>
      </c>
    </row>
    <row r="50" spans="1:6" ht="15.75" thickBot="1" x14ac:dyDescent="0.25">
      <c r="A50" s="85" t="s">
        <v>549</v>
      </c>
      <c r="B50" s="85" t="s">
        <v>556</v>
      </c>
      <c r="C50" s="85" t="s">
        <v>557</v>
      </c>
      <c r="D50" s="85" t="s">
        <v>105</v>
      </c>
      <c r="E50" s="85" t="s">
        <v>558</v>
      </c>
      <c r="F50" s="85" t="s">
        <v>75</v>
      </c>
    </row>
    <row r="51" spans="1:6" ht="15.75" thickBot="1" x14ac:dyDescent="0.25">
      <c r="A51" s="85" t="s">
        <v>549</v>
      </c>
      <c r="B51" s="85" t="s">
        <v>559</v>
      </c>
      <c r="C51" s="85" t="s">
        <v>560</v>
      </c>
      <c r="D51" s="85" t="s">
        <v>105</v>
      </c>
      <c r="E51" s="85" t="s">
        <v>87</v>
      </c>
      <c r="F51" s="85" t="s">
        <v>75</v>
      </c>
    </row>
    <row r="52" spans="1:6" ht="15.75" thickBot="1" x14ac:dyDescent="0.25">
      <c r="A52" s="85" t="s">
        <v>549</v>
      </c>
      <c r="B52" s="85" t="s">
        <v>561</v>
      </c>
      <c r="C52" s="85" t="s">
        <v>562</v>
      </c>
      <c r="D52" s="85" t="s">
        <v>105</v>
      </c>
      <c r="E52" s="85" t="s">
        <v>552</v>
      </c>
      <c r="F52" s="85" t="s">
        <v>75</v>
      </c>
    </row>
    <row r="53" spans="1:6" ht="15.75" thickBot="1" x14ac:dyDescent="0.25">
      <c r="A53" s="85" t="s">
        <v>549</v>
      </c>
      <c r="B53" s="85" t="s">
        <v>563</v>
      </c>
      <c r="C53" s="85" t="s">
        <v>564</v>
      </c>
      <c r="D53" s="85" t="s">
        <v>105</v>
      </c>
      <c r="E53" s="85" t="s">
        <v>565</v>
      </c>
      <c r="F53" s="85" t="s">
        <v>81</v>
      </c>
    </row>
    <row r="54" spans="1:6" ht="15.75" thickBot="1" x14ac:dyDescent="0.25">
      <c r="A54" s="85" t="s">
        <v>549</v>
      </c>
      <c r="B54" s="85" t="s">
        <v>566</v>
      </c>
      <c r="C54" s="85" t="s">
        <v>567</v>
      </c>
      <c r="D54" s="85" t="s">
        <v>105</v>
      </c>
      <c r="E54" s="85" t="s">
        <v>568</v>
      </c>
      <c r="F54" s="85" t="s">
        <v>81</v>
      </c>
    </row>
    <row r="55" spans="1:6" ht="15.75" thickBot="1" x14ac:dyDescent="0.25">
      <c r="A55" s="85" t="s">
        <v>549</v>
      </c>
      <c r="B55" s="85" t="s">
        <v>569</v>
      </c>
      <c r="C55" s="85" t="s">
        <v>570</v>
      </c>
      <c r="D55" s="85" t="s">
        <v>105</v>
      </c>
      <c r="E55" s="85" t="s">
        <v>568</v>
      </c>
      <c r="F55" s="85" t="s">
        <v>81</v>
      </c>
    </row>
    <row r="56" spans="1:6" ht="15.75" thickBot="1" x14ac:dyDescent="0.25">
      <c r="A56" s="85" t="s">
        <v>571</v>
      </c>
      <c r="B56" s="85" t="s">
        <v>572</v>
      </c>
      <c r="C56" s="85" t="s">
        <v>573</v>
      </c>
      <c r="D56" s="85" t="s">
        <v>73</v>
      </c>
      <c r="E56" s="85" t="s">
        <v>74</v>
      </c>
      <c r="F56" s="85" t="s">
        <v>75</v>
      </c>
    </row>
    <row r="57" spans="1:6" ht="15.75" thickBot="1" x14ac:dyDescent="0.25">
      <c r="A57" s="85" t="s">
        <v>571</v>
      </c>
      <c r="B57" s="85" t="s">
        <v>574</v>
      </c>
      <c r="C57" s="85" t="s">
        <v>575</v>
      </c>
      <c r="D57" s="85" t="s">
        <v>73</v>
      </c>
      <c r="E57" s="85" t="s">
        <v>77</v>
      </c>
      <c r="F57" s="85" t="s">
        <v>75</v>
      </c>
    </row>
    <row r="58" spans="1:6" ht="15.75" thickBot="1" x14ac:dyDescent="0.25">
      <c r="A58" s="85" t="s">
        <v>571</v>
      </c>
      <c r="B58" s="85" t="s">
        <v>576</v>
      </c>
      <c r="C58" s="85" t="s">
        <v>577</v>
      </c>
      <c r="D58" s="85" t="s">
        <v>73</v>
      </c>
      <c r="E58" s="85" t="s">
        <v>77</v>
      </c>
      <c r="F58" s="85" t="s">
        <v>75</v>
      </c>
    </row>
    <row r="59" spans="1:6" ht="15.75" thickBot="1" x14ac:dyDescent="0.25">
      <c r="A59" s="85" t="s">
        <v>571</v>
      </c>
      <c r="B59" s="85" t="s">
        <v>578</v>
      </c>
      <c r="C59" s="85" t="s">
        <v>579</v>
      </c>
      <c r="D59" s="85" t="s">
        <v>73</v>
      </c>
      <c r="E59" s="85" t="s">
        <v>77</v>
      </c>
      <c r="F59" s="85" t="s">
        <v>75</v>
      </c>
    </row>
    <row r="60" spans="1:6" ht="15.75" thickBot="1" x14ac:dyDescent="0.25">
      <c r="A60" s="85" t="s">
        <v>571</v>
      </c>
      <c r="B60" s="85" t="s">
        <v>580</v>
      </c>
      <c r="C60" s="85" t="s">
        <v>581</v>
      </c>
      <c r="D60" s="85" t="s">
        <v>105</v>
      </c>
      <c r="E60" s="85" t="s">
        <v>77</v>
      </c>
      <c r="F60" s="85" t="s">
        <v>75</v>
      </c>
    </row>
    <row r="61" spans="1:6" ht="15.75" thickBot="1" x14ac:dyDescent="0.25">
      <c r="A61" s="85" t="s">
        <v>571</v>
      </c>
      <c r="B61" s="85" t="s">
        <v>582</v>
      </c>
      <c r="C61" s="85" t="s">
        <v>583</v>
      </c>
      <c r="D61" s="85" t="s">
        <v>73</v>
      </c>
      <c r="E61" s="85" t="s">
        <v>584</v>
      </c>
      <c r="F61" s="85" t="s">
        <v>75</v>
      </c>
    </row>
    <row r="62" spans="1:6" ht="15.75" thickBot="1" x14ac:dyDescent="0.25">
      <c r="A62" s="85" t="s">
        <v>571</v>
      </c>
      <c r="B62" s="85" t="s">
        <v>585</v>
      </c>
      <c r="C62" s="85" t="s">
        <v>586</v>
      </c>
      <c r="D62" s="85" t="s">
        <v>587</v>
      </c>
      <c r="E62" s="85" t="s">
        <v>74</v>
      </c>
      <c r="F62" s="85" t="s">
        <v>75</v>
      </c>
    </row>
    <row r="63" spans="1:6" ht="15.75" thickBot="1" x14ac:dyDescent="0.25">
      <c r="A63" s="85" t="s">
        <v>571</v>
      </c>
      <c r="B63" s="85" t="s">
        <v>588</v>
      </c>
      <c r="C63" s="85" t="s">
        <v>589</v>
      </c>
      <c r="D63" s="85" t="s">
        <v>587</v>
      </c>
      <c r="E63" s="85" t="s">
        <v>528</v>
      </c>
      <c r="F63" s="85" t="s">
        <v>75</v>
      </c>
    </row>
    <row r="64" spans="1:6" ht="15.75" thickBot="1" x14ac:dyDescent="0.25">
      <c r="A64" s="85" t="s">
        <v>233</v>
      </c>
      <c r="B64" s="85" t="s">
        <v>590</v>
      </c>
      <c r="C64" s="85" t="s">
        <v>591</v>
      </c>
      <c r="D64" s="85" t="s">
        <v>105</v>
      </c>
      <c r="E64" s="85" t="s">
        <v>592</v>
      </c>
      <c r="F64" s="85" t="s">
        <v>75</v>
      </c>
    </row>
    <row r="65" spans="1:6" ht="15.75" thickBot="1" x14ac:dyDescent="0.25">
      <c r="A65" s="85" t="s">
        <v>233</v>
      </c>
      <c r="B65" s="85" t="s">
        <v>593</v>
      </c>
      <c r="C65" s="85" t="s">
        <v>594</v>
      </c>
      <c r="D65" s="85" t="s">
        <v>105</v>
      </c>
      <c r="E65" s="85" t="s">
        <v>592</v>
      </c>
      <c r="F65" s="85" t="s">
        <v>75</v>
      </c>
    </row>
    <row r="66" spans="1:6" ht="15.75" thickBot="1" x14ac:dyDescent="0.25">
      <c r="A66" s="85" t="s">
        <v>233</v>
      </c>
      <c r="B66" s="85" t="s">
        <v>625</v>
      </c>
      <c r="C66" s="85" t="s">
        <v>673</v>
      </c>
      <c r="D66" s="85" t="s">
        <v>105</v>
      </c>
      <c r="E66" s="85" t="s">
        <v>592</v>
      </c>
      <c r="F66" s="85" t="s">
        <v>75</v>
      </c>
    </row>
    <row r="67" spans="1:6" ht="15.75" thickBot="1" x14ac:dyDescent="0.25">
      <c r="A67" s="85" t="s">
        <v>233</v>
      </c>
      <c r="B67" s="85" t="s">
        <v>595</v>
      </c>
      <c r="C67" s="85" t="s">
        <v>596</v>
      </c>
      <c r="D67" s="85" t="s">
        <v>105</v>
      </c>
      <c r="E67" s="85" t="s">
        <v>74</v>
      </c>
      <c r="F67" s="85" t="s">
        <v>75</v>
      </c>
    </row>
    <row r="68" spans="1:6" ht="15.75" thickBot="1" x14ac:dyDescent="0.25">
      <c r="A68" s="85" t="s">
        <v>233</v>
      </c>
      <c r="B68" s="85" t="s">
        <v>597</v>
      </c>
      <c r="C68" s="85" t="s">
        <v>598</v>
      </c>
      <c r="D68" s="85" t="s">
        <v>105</v>
      </c>
      <c r="E68" s="85" t="s">
        <v>74</v>
      </c>
      <c r="F68" s="85" t="s">
        <v>75</v>
      </c>
    </row>
    <row r="69" spans="1:6" ht="15.75" thickBot="1" x14ac:dyDescent="0.25">
      <c r="A69" s="85" t="s">
        <v>233</v>
      </c>
      <c r="B69" s="85" t="s">
        <v>230</v>
      </c>
      <c r="C69" s="85" t="s">
        <v>599</v>
      </c>
      <c r="D69" s="85" t="s">
        <v>105</v>
      </c>
      <c r="E69" s="85" t="s">
        <v>74</v>
      </c>
      <c r="F69" s="85" t="s">
        <v>75</v>
      </c>
    </row>
    <row r="70" spans="1:6" ht="15.75" thickBot="1" x14ac:dyDescent="0.25">
      <c r="A70" s="85" t="s">
        <v>233</v>
      </c>
      <c r="B70" s="85" t="s">
        <v>231</v>
      </c>
      <c r="C70" s="85" t="s">
        <v>600</v>
      </c>
      <c r="D70" s="85" t="s">
        <v>105</v>
      </c>
      <c r="E70" s="85" t="s">
        <v>74</v>
      </c>
      <c r="F70" s="85" t="s">
        <v>75</v>
      </c>
    </row>
  </sheetData>
  <pageMargins left="0.7" right="0.7" top="0.75" bottom="0.75" header="0.3" footer="0.3"/>
  <pageSetup scale="4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Financials</vt:lpstr>
      <vt:lpstr>Game Log</vt:lpstr>
      <vt:lpstr>Players</vt:lpstr>
      <vt:lpstr>Playstyle</vt:lpstr>
      <vt:lpstr>Tactical Analysis</vt:lpstr>
      <vt:lpstr>Recruitment</vt:lpstr>
      <vt:lpstr>Suggested XI</vt:lpstr>
      <vt:lpstr>Opponent Analysis</vt:lpstr>
      <vt:lpstr>Opponent Match Log</vt:lpstr>
      <vt:lpstr>Vocabulary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Hoàng Phong</dc:creator>
  <cp:lastModifiedBy>Nguyễn Hoàng Phong</cp:lastModifiedBy>
  <dcterms:created xsi:type="dcterms:W3CDTF">2026-08-29T21:19:29Z</dcterms:created>
  <dcterms:modified xsi:type="dcterms:W3CDTF">2026-09-11T07:46:14Z</dcterms:modified>
</cp:coreProperties>
</file>